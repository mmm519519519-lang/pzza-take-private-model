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Operating Model" sheetId="3" state="visible" r:id="rId5"/>
    <sheet name="DCF" sheetId="4" state="visible" r:id="rId6"/>
    <sheet name="LBO" sheetId="5" state="visible" r:id="rId7"/>
    <sheet name="Trading Comps" sheetId="6" state="visible" r:id="rId8"/>
    <sheet name="Bid Bridge" sheetId="7" state="visible" r:id="rId9"/>
    <sheet name="Football Fiel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<sst xmlns="http://schemas.openxmlformats.org/spreadsheetml/2006/main" count="548" uniqueCount="478">
  <si>
    <t xml:space="preserve">PAPA JOHN'S INTERNATIONAL, INC.  (NASDAQ: PZZA)</t>
  </si>
  <si>
    <t xml:space="preserve">THE DEAL THAT DIED</t>
  </si>
  <si>
    <t xml:space="preserve">Take-private valuation, LBO returns analysis, and a post-mortem on Apollo's withdrawn $64.00 bid</t>
  </si>
  <si>
    <t xml:space="preserve">Valuation date</t>
  </si>
  <si>
    <t xml:space="preserve">6-Aug-2026 (close following Q2 FY2026 earnings release)</t>
  </si>
  <si>
    <t xml:space="preserve">Current share price</t>
  </si>
  <si>
    <t xml:space="preserve">$27.47</t>
  </si>
  <si>
    <t xml:space="preserve">Apollo bid (withdrawn Nov-2025)</t>
  </si>
  <si>
    <t xml:space="preserve">$64.00 per share in cash</t>
  </si>
  <si>
    <t xml:space="preserve">Value destroyed since bid</t>
  </si>
  <si>
    <t xml:space="preserve">$36.53 per share  /  $1.2 billion of equity value</t>
  </si>
  <si>
    <t xml:space="preserve">THE QUESTION</t>
  </si>
  <si>
    <t xml:space="preserve">In October 2025 Apollo Global Management offered $64.00 per share in cash for Papa</t>
  </si>
  <si>
    <t xml:space="preserve">John's — roughly 13.8x the company's own FY2026 adjusted EBITDA guidance. Apollo</t>
  </si>
  <si>
    <t xml:space="preserve">withdrew weeks later. Ten months on, after two guidance cuts, a suspended dividend</t>
  </si>
  <si>
    <t xml:space="preserve">and North America comparable sales down 8.3%, the stock trades at $27.47.</t>
  </si>
  <si>
    <t xml:space="preserve">This model asks three questions: (1) what is PZZA worth today on fundamentals;</t>
  </si>
  <si>
    <t xml:space="preserve">(2) what could a sponsor actually pay and still clear a 20% IRR; and (3) what did</t>
  </si>
  <si>
    <t xml:space="preserve">Apollo have to believe to justify $64 — and was the market or the sponsor wrong?</t>
  </si>
  <si>
    <t xml:space="preserve">CONTENTS</t>
  </si>
  <si>
    <t xml:space="preserve">Assumptions</t>
  </si>
  <si>
    <t xml:space="preserve">Every input in the model. Blue cells are the only ones you should edit.</t>
  </si>
  <si>
    <t xml:space="preserve">Operating Model</t>
  </si>
  <si>
    <t xml:space="preserve">FY2025A-FY2031E revenue build from system-wide sales, units and comps.</t>
  </si>
  <si>
    <t xml:space="preserve">DCF</t>
  </si>
  <si>
    <t xml:space="preserve">WACC build, unlevered FCF, dual terminal value, WACC x exit-multiple sensitivity.</t>
  </si>
  <si>
    <t xml:space="preserve">Trading Comps</t>
  </si>
  <si>
    <t xml:space="preserve">QSR peer set. Multiples are input cells — refresh from Bloomberg/CapIQ.</t>
  </si>
  <si>
    <t xml:space="preserve">LBO</t>
  </si>
  <si>
    <t xml:space="preserve">Sources &amp; uses, 5-year debt schedule with cash sweep, IRR / MoIC, sensitivities.</t>
  </si>
  <si>
    <t xml:space="preserve">Bid Bridge</t>
  </si>
  <si>
    <t xml:space="preserve">Decomposition of the $64 -&gt; $27 move, and a solve for Apollo's required case.</t>
  </si>
  <si>
    <t xml:space="preserve">Football Field</t>
  </si>
  <si>
    <t xml:space="preserve">Valuation range summary across all methodologies.</t>
  </si>
  <si>
    <t xml:space="preserve">COLOR CONVENTION</t>
  </si>
  <si>
    <t xml:space="preserve">Blue text</t>
  </si>
  <si>
    <t xml:space="preserve">Hardcoded input or scenario lever — edit these</t>
  </si>
  <si>
    <t xml:space="preserve">Black text</t>
  </si>
  <si>
    <t xml:space="preserve">Formula calculated within the sheet</t>
  </si>
  <si>
    <t xml:space="preserve">Green text</t>
  </si>
  <si>
    <t xml:space="preserve">Link to another worksheet</t>
  </si>
  <si>
    <t xml:space="preserve">Yellow fill</t>
  </si>
  <si>
    <t xml:space="preserve">Key assumption / driver</t>
  </si>
  <si>
    <t xml:space="preserve">Green fill</t>
  </si>
  <si>
    <t xml:space="preserve">Model output</t>
  </si>
  <si>
    <t xml:space="preserve">SOURCES</t>
  </si>
  <si>
    <t xml:space="preserve">Papa John's Q2 FY2026 earnings release and Form 10-Q, filed 6-Aug-2026</t>
  </si>
  <si>
    <t xml:space="preserve">Papa John's Q4/FY2025 earnings release, filed 26-Feb-2026</t>
  </si>
  <si>
    <t xml:space="preserve">Papa John's Form 10-Q for the quarter ended 29-Mar-2026 (SEC EDGAR)</t>
  </si>
  <si>
    <t xml:space="preserve">Reuters / Semafor reporting on the Apollo Global Management bid, Jun-Nov 2025</t>
  </si>
  <si>
    <t xml:space="preserve">DISCLAIMER</t>
  </si>
  <si>
    <t xml:space="preserve">Prepared as an independent analytical exercise. Not investment advice, not a</t>
  </si>
  <si>
    <t xml:space="preserve">recommendation to buy or sell any security. Peer trading multiples are unpopulated</t>
  </si>
  <si>
    <t xml:space="preserve">placeholders pending a live data terminal and are labelled as such in-sheet.</t>
  </si>
  <si>
    <t xml:space="preserve">ASSUMPTIONS  —  every input in the model lives here</t>
  </si>
  <si>
    <t xml:space="preserve">US$ in millions except per-share data.  BLUE = hardcoded input (edit these).  BLACK = formula.  Fiscal year ends late December.</t>
  </si>
  <si>
    <t xml:space="preserve">1.  MARKET DATA &amp; CURRENT CAPITALIZATION</t>
  </si>
  <si>
    <t xml:space="preserve">Share price ($)</t>
  </si>
  <si>
    <t xml:space="preserve">Close 6-Aug-2026, day of Q2'26 release (stock -7.7% intraday on the print)</t>
  </si>
  <si>
    <t xml:space="preserve">Diluted shares outstanding (mm)</t>
  </si>
  <si>
    <t xml:space="preserve">Q2'26 10-Q: diluted weighted avg 33,129k; FY26 guidance ~33mm</t>
  </si>
  <si>
    <t xml:space="preserve">Equity value</t>
  </si>
  <si>
    <t xml:space="preserve">Long-term debt incl. current portion</t>
  </si>
  <si>
    <t xml:space="preserve">Q2'26 B/S: $715.218mm LT + $12.270mm current portion</t>
  </si>
  <si>
    <t xml:space="preserve">Finance lease liabilities</t>
  </si>
  <si>
    <t xml:space="preserve">Q2'26 B/S: $27.711mm LT + $10.101mm current</t>
  </si>
  <si>
    <t xml:space="preserve">Total debt</t>
  </si>
  <si>
    <t xml:space="preserve">Less: cash, equivalents &amp; restricted cash</t>
  </si>
  <si>
    <t xml:space="preserve">Q2'26 B/S: $28.490mm</t>
  </si>
  <si>
    <t xml:space="preserve">Net debt</t>
  </si>
  <si>
    <t xml:space="preserve">Enterprise value</t>
  </si>
  <si>
    <t xml:space="preserve">EV / FY2026E adj. EBITDA</t>
  </si>
  <si>
    <t xml:space="preserve">Operating leases NOT capitalised — post-ASC 842 rent expense already sits in EBITDA</t>
  </si>
  <si>
    <t xml:space="preserve">2.  THE APOLLO BID  (submitted Oct-2025, withdrawn Nov-2025)</t>
  </si>
  <si>
    <t xml:space="preserve">Offer price per share ($)</t>
  </si>
  <si>
    <t xml:space="preserve">Reuters/Semafor; all-cash. Raised from ~$60 joint bid with Irth Capital (Jun-2025)</t>
  </si>
  <si>
    <t xml:space="preserve">Implied equity value</t>
  </si>
  <si>
    <t xml:space="preserve">Net debt at 28-Dec-2025 (bid period)</t>
  </si>
  <si>
    <t xml:space="preserve">FY25 B/S: $710.4 LT + $5.0 current + $40.8 finance leases - $37.0 cash</t>
  </si>
  <si>
    <t xml:space="preserve">Implied enterprise value</t>
  </si>
  <si>
    <t xml:space="preserve">FY2026E adj. EBITDA guided at bid date</t>
  </si>
  <si>
    <t xml:space="preserve">Company's ORIGINAL FY26 guidance was $200-210mm — midpoint used</t>
  </si>
  <si>
    <t xml:space="preserve">Implied entry EV / EBITDA</t>
  </si>
  <si>
    <t xml:space="preserve">vs. ~7.7x average on Apollo's prior restaurant deals (CKE, Qdoba, CEC)</t>
  </si>
  <si>
    <t xml:space="preserve">Current price as % of offer</t>
  </si>
  <si>
    <t xml:space="preserve">3.  SCENARIO SWITCH</t>
  </si>
  <si>
    <t xml:space="preserve">Active scenario  (1 = Bear, 2 = Base, 3 = Bull)</t>
  </si>
  <si>
    <t xml:space="preserve">Active scenario name</t>
  </si>
  <si>
    <t xml:space="preserve">Operating driver</t>
  </si>
  <si>
    <t xml:space="preserve">Bear</t>
  </si>
  <si>
    <t xml:space="preserve">Base</t>
  </si>
  <si>
    <t xml:space="preserve">Bull</t>
  </si>
  <si>
    <t xml:space="preserve">ACTIVE</t>
  </si>
  <si>
    <t xml:space="preserve">North America comparable sales — FY2027E</t>
  </si>
  <si>
    <t xml:space="preserve">North America comparable sales — FY2028E</t>
  </si>
  <si>
    <t xml:space="preserve">North America comparable sales — FY2029E onward</t>
  </si>
  <si>
    <t xml:space="preserve">International comparable sales — FY2027E onward</t>
  </si>
  <si>
    <t xml:space="preserve">North America net unit growth (annual)</t>
  </si>
  <si>
    <t xml:space="preserve">International net unit growth (annual)</t>
  </si>
  <si>
    <t xml:space="preserve">Adjusted EBITDA margin — FY2031E exit</t>
  </si>
  <si>
    <t xml:space="preserve">FY2024A margin was 11.0%; FY2025A 9.7%; FY2026E 9.8%. Base case assumes a partial recovery only.</t>
  </si>
  <si>
    <t xml:space="preserve">4.  FY2026E ANCHOR  —  company guidance as revised 6-Aug-2026</t>
  </si>
  <si>
    <t xml:space="preserve">Adjusted EBITDA — guidance low</t>
  </si>
  <si>
    <t xml:space="preserve">Cut from $200mm on 6-Aug-2026</t>
  </si>
  <si>
    <t xml:space="preserve">Adjusted EBITDA — guidance high</t>
  </si>
  <si>
    <t xml:space="preserve">Cut from $210mm on 6-Aug-2026</t>
  </si>
  <si>
    <t xml:space="preserve">Adjusted EBITDA — guidance midpoint</t>
  </si>
  <si>
    <t xml:space="preserve">Adjusted D&amp;A</t>
  </si>
  <si>
    <t xml:space="preserve">Guidance $70-75mm</t>
  </si>
  <si>
    <t xml:space="preserve">Net interest expense</t>
  </si>
  <si>
    <t xml:space="preserve">Guidance $35-40mm</t>
  </si>
  <si>
    <t xml:space="preserve">Capital expenditures</t>
  </si>
  <si>
    <t xml:space="preserve">Guidance $70-80mm</t>
  </si>
  <si>
    <t xml:space="preserve">GAAP effective tax rate</t>
  </si>
  <si>
    <t xml:space="preserve">Guidance 30-34%</t>
  </si>
  <si>
    <t xml:space="preserve">North America comparable sales — FY2026E</t>
  </si>
  <si>
    <t xml:space="preserve">Guidance (6)% to (8)%</t>
  </si>
  <si>
    <t xml:space="preserve">International comparable sales — FY2026E</t>
  </si>
  <si>
    <t xml:space="preserve">Guidance +1% to +3%</t>
  </si>
  <si>
    <t xml:space="preserve">North America net unit growth — FY2026E</t>
  </si>
  <si>
    <t xml:space="preserve">Trailing 4Q NA net units (78) on a base of 3,517</t>
  </si>
  <si>
    <t xml:space="preserve">International net unit growth — FY2026E</t>
  </si>
  <si>
    <t xml:space="preserve">Trailing 4Q intl net units +67 on a base of 2,472</t>
  </si>
  <si>
    <t xml:space="preserve">Volume weighting on opened / closed units</t>
  </si>
  <si>
    <t xml:space="preserve">Closed units run well below system AUV; calibrated so FY26E system sales tie to guidance</t>
  </si>
  <si>
    <t xml:space="preserve">5.  REVENUE CAPTURE RATES  —  calibrated to reported Q2 FY2026 actuals</t>
  </si>
  <si>
    <t xml:space="preserve">Company-owned restaurant sales / global system sales</t>
  </si>
  <si>
    <t xml:space="preserve">$142.182mm / $1,197.9mm (Q2'26)</t>
  </si>
  <si>
    <t xml:space="preserve">Franchise royalties &amp; fees / global system sales</t>
  </si>
  <si>
    <t xml:space="preserve">$46.585mm / $1,197.9mm (Q2'26)</t>
  </si>
  <si>
    <t xml:space="preserve">Commissary revenue / NA system sales</t>
  </si>
  <si>
    <t xml:space="preserve">$230.818mm / $850.7mm (Q2'26)</t>
  </si>
  <si>
    <t xml:space="preserve">Other revenue / global system sales</t>
  </si>
  <si>
    <t xml:space="preserve">$21.459mm / $1,197.9mm (Q2'26)</t>
  </si>
  <si>
    <t xml:space="preserve">Advertising funds revenue / NA system sales</t>
  </si>
  <si>
    <t xml:space="preserve">$41.353mm / $850.7mm (Q2'26)</t>
  </si>
  <si>
    <t xml:space="preserve">D&amp;A as % of total revenue</t>
  </si>
  <si>
    <t xml:space="preserve">FY26E $72.5mm guidance / ~$1,887mm modelled revenue</t>
  </si>
  <si>
    <t xml:space="preserve">Capex as % of total revenue</t>
  </si>
  <si>
    <t xml:space="preserve">FY26E $75.0mm guidance / ~$1,887mm modelled revenue</t>
  </si>
  <si>
    <t xml:space="preserve">Increase in NWC as % of increase in revenue</t>
  </si>
  <si>
    <t xml:space="preserve">Analyst estimate — franchised model runs negative working capital, so low intensity</t>
  </si>
  <si>
    <t xml:space="preserve">6.  DCF ASSUMPTIONS</t>
  </si>
  <si>
    <t xml:space="preserve">Risk-free rate (10Y US Treasury)</t>
  </si>
  <si>
    <t xml:space="preserve">Analyst assumption</t>
  </si>
  <si>
    <t xml:space="preserve">Equity risk premium</t>
  </si>
  <si>
    <t xml:space="preserve">Damodaran implied ERP, US</t>
  </si>
  <si>
    <t xml:space="preserve">Levered beta</t>
  </si>
  <si>
    <t xml:space="preserve">Analyst assumption reflecting 44% net-debt/EV and negative comps</t>
  </si>
  <si>
    <t xml:space="preserve">Size / company-specific premium</t>
  </si>
  <si>
    <t xml:space="preserve">$1.0bn market cap; execution risk on the transformation plan</t>
  </si>
  <si>
    <t xml:space="preserve">Cost of equity</t>
  </si>
  <si>
    <t xml:space="preserve">CAPM: Rf + beta x ERP + alpha</t>
  </si>
  <si>
    <t xml:space="preserve">Pre-tax cost of debt</t>
  </si>
  <si>
    <t xml:space="preserve">Analyst assumption; PZZA net interest / avg debt ~5.2% on legacy paper</t>
  </si>
  <si>
    <t xml:space="preserve">Marginal tax rate</t>
  </si>
  <si>
    <t xml:space="preserve">21% federal + state</t>
  </si>
  <si>
    <t xml:space="preserve">After-tax cost of debt</t>
  </si>
  <si>
    <t xml:space="preserve">Target debt / total capitalisation</t>
  </si>
  <si>
    <t xml:space="preserve">Analyst assumption — long-run target, below current 45%</t>
  </si>
  <si>
    <t xml:space="preserve">WACC</t>
  </si>
  <si>
    <t xml:space="preserve">Terminal exit multiple (EV / EBITDA)</t>
  </si>
  <si>
    <t xml:space="preserve">Below the 13.8x Apollo bid; near Apollo's own historical restaurant average</t>
  </si>
  <si>
    <t xml:space="preserve">Perpetuity growth rate</t>
  </si>
  <si>
    <t xml:space="preserve">Below long-run nominal GDP</t>
  </si>
  <si>
    <t xml:space="preserve">Stub period — valuation date to FY2026 year end (yrs)</t>
  </si>
  <si>
    <t xml:space="preserve">6-Aug-2026 to 27-Dec-2026</t>
  </si>
  <si>
    <t xml:space="preserve">7.  LBO ASSUMPTIONS  —  transaction assumed to close 1-Jan-2027</t>
  </si>
  <si>
    <t xml:space="preserve">Offer premium to current share price</t>
  </si>
  <si>
    <t xml:space="preserve">Sponsor lever — flex this</t>
  </si>
  <si>
    <t xml:space="preserve">Purchase equity value</t>
  </si>
  <si>
    <t xml:space="preserve">Entry EBITDA (FY2026E)</t>
  </si>
  <si>
    <t xml:space="preserve">Entry EV / EBITDA</t>
  </si>
  <si>
    <t xml:space="preserve">Term Loan B — turns of entry EBITDA</t>
  </si>
  <si>
    <t xml:space="preserve">Sponsor lever</t>
  </si>
  <si>
    <t xml:space="preserve">Senior notes — turns of entry EBITDA</t>
  </si>
  <si>
    <t xml:space="preserve">Term Loan B all-in interest rate</t>
  </si>
  <si>
    <t xml:space="preserve">SOFR + ~375bp</t>
  </si>
  <si>
    <t xml:space="preserve">Senior notes coupon</t>
  </si>
  <si>
    <t xml:space="preserve">Single-B new issue</t>
  </si>
  <si>
    <t xml:space="preserve">Revolver interest rate</t>
  </si>
  <si>
    <t xml:space="preserve">Interest earned on cash balances</t>
  </si>
  <si>
    <t xml:space="preserve">TLB mandatory amortisation (% p.a.)</t>
  </si>
  <si>
    <t xml:space="preserve">Standard 1% institutional TLB</t>
  </si>
  <si>
    <t xml:space="preserve">Cash flow sweep (% of free cash flow)</t>
  </si>
  <si>
    <t xml:space="preserve">Minimum cash balance</t>
  </si>
  <si>
    <t xml:space="preserve">Financing fees (% of debt raised)</t>
  </si>
  <si>
    <t xml:space="preserve">Advisory / other transaction fees</t>
  </si>
  <si>
    <t xml:space="preserve">LBO cash tax rate</t>
  </si>
  <si>
    <t xml:space="preserve">Exit EV / EBITDA multiple</t>
  </si>
  <si>
    <t xml:space="preserve">Sponsor lever — assumes half a turn of multiple expansion off entry</t>
  </si>
  <si>
    <t xml:space="preserve">Holding period (years)</t>
  </si>
  <si>
    <t xml:space="preserve">Target sponsor IRR</t>
  </si>
  <si>
    <t xml:space="preserve">Used in the Bid Bridge solve</t>
  </si>
  <si>
    <t xml:space="preserve">OPERATING MODEL  —  system-wide sales build</t>
  </si>
  <si>
    <t xml:space="preserve">US$ in millions. Revenue is built from system-wide restaurant sales, not grown off a trend line — this is a 92% franchised system, so revenue is a capture rate on a sales base the company does not own.</t>
  </si>
  <si>
    <t xml:space="preserve">Fiscal year</t>
  </si>
  <si>
    <t xml:space="preserve">FY2025A</t>
  </si>
  <si>
    <t xml:space="preserve">FY2026E</t>
  </si>
  <si>
    <t xml:space="preserve">FY2027E</t>
  </si>
  <si>
    <t xml:space="preserve">FY2028E</t>
  </si>
  <si>
    <t xml:space="preserve">FY2029E</t>
  </si>
  <si>
    <t xml:space="preserve">FY2030E</t>
  </si>
  <si>
    <t xml:space="preserve">FY2031E</t>
  </si>
  <si>
    <t xml:space="preserve">Projection year index</t>
  </si>
  <si>
    <t xml:space="preserve">OPERATING DRIVERS</t>
  </si>
  <si>
    <t xml:space="preserve">North America comparable sales</t>
  </si>
  <si>
    <t xml:space="preserve">FY2026E per company guidance; FY2027E onward from the scenario switch on the Assumptions tab.</t>
  </si>
  <si>
    <t xml:space="preserve">International comparable sales</t>
  </si>
  <si>
    <t xml:space="preserve">North America net unit growth</t>
  </si>
  <si>
    <t xml:space="preserve">International net unit growth</t>
  </si>
  <si>
    <t xml:space="preserve">Volume weighting on units opened / closed</t>
  </si>
  <si>
    <t xml:space="preserve">SYSTEM-WIDE RESTAURANT SALES</t>
  </si>
  <si>
    <t xml:space="preserve">North America system-wide sales</t>
  </si>
  <si>
    <t xml:space="preserve">FY2025A NA/intl split derived from Q2'26 disclosure ($850.7mm NA, $347.2mm intl) applied to reported $4.92bn global system sales</t>
  </si>
  <si>
    <t xml:space="preserve">International system-wide sales</t>
  </si>
  <si>
    <t xml:space="preserve">Global system-wide restaurant sales</t>
  </si>
  <si>
    <t xml:space="preserve">% growth</t>
  </si>
  <si>
    <t xml:space="preserve">FY2026E computes to c.(5)% vs. company guidance of (2)% to (4)%. The model deliberately runs below guidance: management has cut the FY26 EBITDA range twice in six months. FY26E EBITDA is still pinned to the guided midpoint, so valuation is unaffected.</t>
  </si>
  <si>
    <t xml:space="preserve">RESTAURANT COUNT  (period end)</t>
  </si>
  <si>
    <t xml:space="preserve">North America units</t>
  </si>
  <si>
    <t xml:space="preserve">FY2025A: 6,083 total per FY25 release; NA/intl split rolled back from the Q2'26 10-Q unit roll-forward</t>
  </si>
  <si>
    <t xml:space="preserve">International units</t>
  </si>
  <si>
    <t xml:space="preserve">Total system restaurants</t>
  </si>
  <si>
    <t xml:space="preserve">Implied North America AUV ($000)</t>
  </si>
  <si>
    <t xml:space="preserve">Implied International AUV ($000)</t>
  </si>
  <si>
    <t xml:space="preserve">REVENUE BUILD</t>
  </si>
  <si>
    <t xml:space="preserve">Company-owned restaurant sales</t>
  </si>
  <si>
    <t xml:space="preserve">Franchise royalties &amp; fees</t>
  </si>
  <si>
    <t xml:space="preserve">Commissary revenues</t>
  </si>
  <si>
    <t xml:space="preserve">Other revenues</t>
  </si>
  <si>
    <t xml:space="preserve">Advertising funds revenue</t>
  </si>
  <si>
    <t xml:space="preserve">Total revenues</t>
  </si>
  <si>
    <t xml:space="preserve">Memo: reported FY2025A total revenue</t>
  </si>
  <si>
    <t xml:space="preserve">FY2025A revenue reported as 'flat vs prior year' at $2.1bn (FY24: $2,063mm). Capture-rate build reproduces it to within c.2% — the gap is the Q4'25 refranchising of 85 units, which lowered the company-owned capture rate used here.</t>
  </si>
  <si>
    <t xml:space="preserve">Memo: model variance vs. reported</t>
  </si>
  <si>
    <t xml:space="preserve">PROFITABILITY &amp; UNLEVERED FREE CASH FLOW</t>
  </si>
  <si>
    <t xml:space="preserve">Adjusted EBITDA margin</t>
  </si>
  <si>
    <t xml:space="preserve">FY2025A/FY2026E margin derived from reported and guided EBITDA. FY2027E+ margin is interpolated straight-line from FY2026E to the scenario exit margin, and drives EBITDA.</t>
  </si>
  <si>
    <t xml:space="preserve">Adjusted EBITDA</t>
  </si>
  <si>
    <t xml:space="preserve">Less: depreciation &amp; amortisation</t>
  </si>
  <si>
    <t xml:space="preserve">Adjusted EBIT</t>
  </si>
  <si>
    <t xml:space="preserve">EBIT margin</t>
  </si>
  <si>
    <t xml:space="preserve">Less: taxes on EBIT at marginal rate</t>
  </si>
  <si>
    <t xml:space="preserve">NOPAT</t>
  </si>
  <si>
    <t xml:space="preserve">Plus: depreciation &amp; amortisation</t>
  </si>
  <si>
    <t xml:space="preserve">Less: capital expenditures</t>
  </si>
  <si>
    <t xml:space="preserve">Less: increase in net working capital</t>
  </si>
  <si>
    <t xml:space="preserve">Unlevered free cash flow</t>
  </si>
  <si>
    <t xml:space="preserve">FCF conversion (% of adj. EBITDA)</t>
  </si>
  <si>
    <t xml:space="preserve">DISCOUNTED CASH FLOW</t>
  </si>
  <si>
    <t xml:space="preserve">US$ in millions except per-share. Mid-year convention with a stub from the 6-Aug-2026 valuation date to fiscal year end. Operating leases are not capitalised (rent expense sits inside EBITDA under ASC 842).</t>
  </si>
  <si>
    <t xml:space="preserve">WACC BUILD</t>
  </si>
  <si>
    <t xml:space="preserve">Risk-free rate (10Y UST)</t>
  </si>
  <si>
    <t xml:space="preserve">Target equity / total capitalisation</t>
  </si>
  <si>
    <t xml:space="preserve">UNLEVERED FREE CASH FLOW</t>
  </si>
  <si>
    <t xml:space="preserve">Total</t>
  </si>
  <si>
    <t xml:space="preserve">(stub)</t>
  </si>
  <si>
    <t xml:space="preserve">Unlevered free cash flow (full year)</t>
  </si>
  <si>
    <t xml:space="preserve">Period factor (stub for part-year)</t>
  </si>
  <si>
    <t xml:space="preserve">Only 0.39 of FY2026 remains after the 6-Aug-2026 valuation date; H1'26 cash flow is already in the balance sheet.</t>
  </si>
  <si>
    <t xml:space="preserve">Free cash flow in period</t>
  </si>
  <si>
    <t xml:space="preserve">Discount period (mid-year convention)</t>
  </si>
  <si>
    <t xml:space="preserve">Discount factor</t>
  </si>
  <si>
    <t xml:space="preserve">Present value of free cash flow</t>
  </si>
  <si>
    <t xml:space="preserve">TERMINAL VALUE  —  EXIT MULTIPLE METHOD</t>
  </si>
  <si>
    <t xml:space="preserve">FY2031E adjusted EBITDA</t>
  </si>
  <si>
    <t xml:space="preserve">Terminal EV / EBITDA multiple</t>
  </si>
  <si>
    <t xml:space="preserve">Terminal value at FY2031 year end</t>
  </si>
  <si>
    <t xml:space="preserve">Discount period to terminal value</t>
  </si>
  <si>
    <t xml:space="preserve">Present value of terminal value</t>
  </si>
  <si>
    <t xml:space="preserve">Present value of forecast free cash flow</t>
  </si>
  <si>
    <t xml:space="preserve">% of enterprise value from terminal value</t>
  </si>
  <si>
    <t xml:space="preserve">Less: net debt</t>
  </si>
  <si>
    <t xml:space="preserve">Implied value per share</t>
  </si>
  <si>
    <t xml:space="preserve">Premium / (discount) to current price</t>
  </si>
  <si>
    <t xml:space="preserve">TERMINAL VALUE  —  PERPETUITY GROWTH METHOD  (cross-check)</t>
  </si>
  <si>
    <t xml:space="preserve">FY2031E unlevered free cash flow</t>
  </si>
  <si>
    <t xml:space="preserve">Implied terminal EV / EBITDA (cross-check)</t>
  </si>
  <si>
    <t xml:space="preserve">If this implied multiple sits far from the 7.0x exit assumption, the two methods disagree and the growth rate needs revisiting.</t>
  </si>
  <si>
    <t xml:space="preserve">SENSITIVITY  —  implied value per share:  WACC  vs.  terminal exit multiple</t>
  </si>
  <si>
    <t xml:space="preserve">WACC  \  Exit multiple</t>
  </si>
  <si>
    <t xml:space="preserve">Shaded green cell is the base case (8.82% WACC, 7.0x exit). Apollo's $64 bid implied 13.8x — off the right-hand edge of this table.</t>
  </si>
  <si>
    <t xml:space="preserve">LEVERAGED BUYOUT ANALYSIS</t>
  </si>
  <si>
    <t xml:space="preserve">US$ in millions. Transaction assumed to close 1-Jan-2027. Interest is calculated on opening balances to keep the model non-circular.</t>
  </si>
  <si>
    <t xml:space="preserve">TRANSACTION SUMMARY</t>
  </si>
  <si>
    <t xml:space="preserve">Premium to current share price</t>
  </si>
  <si>
    <t xml:space="preserve">Plus: existing net debt</t>
  </si>
  <si>
    <t xml:space="preserve">Transaction enterprise value</t>
  </si>
  <si>
    <t xml:space="preserve">SOURCES &amp; USES</t>
  </si>
  <si>
    <t xml:space="preserve">USES</t>
  </si>
  <si>
    <t xml:space="preserve">Purchase of equity</t>
  </si>
  <si>
    <t xml:space="preserve">Refinancing of existing debt</t>
  </si>
  <si>
    <t xml:space="preserve">Financing fees</t>
  </si>
  <si>
    <t xml:space="preserve">Financing fees reference total debt raised in B25 - a deliberate forward reference, resolved by Excel on calculation.</t>
  </si>
  <si>
    <t xml:space="preserve">Advisory &amp; other transaction fees</t>
  </si>
  <si>
    <t xml:space="preserve">Total uses</t>
  </si>
  <si>
    <t xml:space="preserve">Revolving credit facility (undrawn at close)</t>
  </si>
  <si>
    <t xml:space="preserve">Term Loan B</t>
  </si>
  <si>
    <t xml:space="preserve">Senior unsecured notes</t>
  </si>
  <si>
    <t xml:space="preserve">Cash from balance sheet</t>
  </si>
  <si>
    <t xml:space="preserve">Sponsor equity</t>
  </si>
  <si>
    <t xml:space="preserve">Total sources</t>
  </si>
  <si>
    <t xml:space="preserve">Check: sources less uses</t>
  </si>
  <si>
    <t xml:space="preserve">Memo: total leverage at close (x entry EBITDA)</t>
  </si>
  <si>
    <t xml:space="preserve">DEBT SCHEDULE &amp; FREE CASH FLOW</t>
  </si>
  <si>
    <t xml:space="preserve">At close</t>
  </si>
  <si>
    <t xml:space="preserve">Less: cash interest, net</t>
  </si>
  <si>
    <t xml:space="preserve">Less: cash taxes</t>
  </si>
  <si>
    <t xml:space="preserve">Free cash flow before debt repayment</t>
  </si>
  <si>
    <t xml:space="preserve">Mandatory TLB amortisation</t>
  </si>
  <si>
    <t xml:space="preserve">Cash sweep repayment of Term Loan B</t>
  </si>
  <si>
    <t xml:space="preserve">DEBT BALANCES</t>
  </si>
  <si>
    <t xml:space="preserve">Revolver — beginning balance</t>
  </si>
  <si>
    <t xml:space="preserve">Revolver — ending balance</t>
  </si>
  <si>
    <t xml:space="preserve">  Revolver drawdown / (repayment)</t>
  </si>
  <si>
    <t xml:space="preserve">  Cash interest, net</t>
  </si>
  <si>
    <t xml:space="preserve">Senior notes — balance (bullet)</t>
  </si>
  <si>
    <t xml:space="preserve">Term Loan B — beginning balance</t>
  </si>
  <si>
    <t xml:space="preserve">Term Loan B — ending balance</t>
  </si>
  <si>
    <t xml:space="preserve">Cash — beginning balance</t>
  </si>
  <si>
    <t xml:space="preserve">Cash — ending balance</t>
  </si>
  <si>
    <t xml:space="preserve">Total debt — ending</t>
  </si>
  <si>
    <t xml:space="preserve">Net debt — ending</t>
  </si>
  <si>
    <t xml:space="preserve">Net debt / adjusted EBITDA</t>
  </si>
  <si>
    <t xml:space="preserve">Adjusted EBITDA / cash interest</t>
  </si>
  <si>
    <t xml:space="preserve">SPONSOR RETURNS</t>
  </si>
  <si>
    <t xml:space="preserve">Exit year adjusted EBITDA (FY2031E)</t>
  </si>
  <si>
    <t xml:space="preserve">Exit enterprise value</t>
  </si>
  <si>
    <t xml:space="preserve">Less: net debt at exit</t>
  </si>
  <si>
    <t xml:space="preserve">Exit equity value to sponsor</t>
  </si>
  <si>
    <t xml:space="preserve">Sponsor equity invested at close</t>
  </si>
  <si>
    <t xml:space="preserve">Multiple of invested capital (MoIC)</t>
  </si>
  <si>
    <t xml:space="preserve">Internal rate of return (IRR)</t>
  </si>
  <si>
    <t xml:space="preserve">Memo: entry multiple less exit multiple (turns)</t>
  </si>
  <si>
    <t xml:space="preserve">Entry at a premium to an already-8.9x stock, exit at 7.5x: nearly three turns of compression does most of the damage. The flat-multiple case below is the obvious bull rebuttal - it is still short of a 20% return.</t>
  </si>
  <si>
    <t xml:space="preserve">Memo: MoIC if exit multiple equals entry multiple</t>
  </si>
  <si>
    <t xml:space="preserve">Memo: IRR if exit multiple equals entry multiple</t>
  </si>
  <si>
    <t xml:space="preserve">THE ANSWER  —  maximum price a sponsor can pay and still hit the target return</t>
  </si>
  <si>
    <t xml:space="preserve">Required exit equity value</t>
  </si>
  <si>
    <t xml:space="preserve">Maximum sponsor equity cheque</t>
  </si>
  <si>
    <t xml:space="preserve">Less: fees and refinancing not funded by debt</t>
  </si>
  <si>
    <t xml:space="preserve">Maximum equity purchase price</t>
  </si>
  <si>
    <t xml:space="preserve">Maximum offer price per share</t>
  </si>
  <si>
    <t xml:space="preserve">The headline number: the most a disciplined financial buyer could bid today under base-case operating assumptions.</t>
  </si>
  <si>
    <t xml:space="preserve">Premium / (discount) to current share price</t>
  </si>
  <si>
    <t xml:space="preserve">As a % of Apollo's withdrawn $64.00 bid</t>
  </si>
  <si>
    <t xml:space="preserve">SENSITIVITY  —  sponsor IRR:  offer price per share  vs.  exit multiple</t>
  </si>
  <si>
    <t xml:space="preserve">Exit multiple  \  Offer price</t>
  </si>
  <si>
    <t xml:space="preserve">Read this grid as the deal's obituary. The $27.47 column is today's market price - a sponsor paying no premium at all, exiting at 7.5x, earns roughly nothing. Debt is sized off entry EBITDA, so the capital structure and exit net debt do not move with the offer price, which is what makes the grid solvable in closed form. Bottom row is a flat entry/exit multiple.</t>
  </si>
  <si>
    <t xml:space="preserve">TRADING COMPARABLES  —  QSR peer set</t>
  </si>
  <si>
    <t xml:space="preserve">TEMPLATE. Peer rows are deliberately blank: live multiples must come from a terminal, not from memory. Fill the BLUE cells and every multiple, median and mean below will populate. The PZZA row is live from this model and shows the expected format.</t>
  </si>
  <si>
    <t xml:space="preserve">Company</t>
  </si>
  <si>
    <t xml:space="preserve">Ticker</t>
  </si>
  <si>
    <t xml:space="preserve">Share price</t>
  </si>
  <si>
    <t xml:space="preserve">Diluted shares</t>
  </si>
  <si>
    <t xml:space="preserve">NTM adj. EBITDA</t>
  </si>
  <si>
    <t xml:space="preserve">EV / NTM EBITDA</t>
  </si>
  <si>
    <t xml:space="preserve">NTM EPS</t>
  </si>
  <si>
    <t xml:space="preserve">P / E</t>
  </si>
  <si>
    <t xml:space="preserve">Domino's Pizza</t>
  </si>
  <si>
    <t xml:space="preserve">DPZ</t>
  </si>
  <si>
    <t xml:space="preserve">Yum! Brands</t>
  </si>
  <si>
    <t xml:space="preserve">YUM</t>
  </si>
  <si>
    <t xml:space="preserve">Restaurant Brands Intl.</t>
  </si>
  <si>
    <t xml:space="preserve">QSR</t>
  </si>
  <si>
    <t xml:space="preserve">Wendy's</t>
  </si>
  <si>
    <t xml:space="preserve">WEN</t>
  </si>
  <si>
    <t xml:space="preserve">Jack in the Box</t>
  </si>
  <si>
    <t xml:space="preserve">JACK</t>
  </si>
  <si>
    <t xml:space="preserve">Wingstop</t>
  </si>
  <si>
    <t xml:space="preserve">WING</t>
  </si>
  <si>
    <t xml:space="preserve">Denny's</t>
  </si>
  <si>
    <t xml:space="preserve">DENN</t>
  </si>
  <si>
    <t xml:space="preserve">Median</t>
  </si>
  <si>
    <t xml:space="preserve">Mean</t>
  </si>
  <si>
    <t xml:space="preserve">Papa John's International</t>
  </si>
  <si>
    <t xml:space="preserve">PZZA</t>
  </si>
  <si>
    <t xml:space="preserve">NTM EBITDA for PZZA = FY2027E from the operating model. Peers should be pulled on the same NTM basis for consistency.</t>
  </si>
  <si>
    <t xml:space="preserve">Premium / (discount) to peer median</t>
  </si>
  <si>
    <t xml:space="preserve">SELECTED MULTIPLE RANGE  —  analyst judgement, not a mechanical median</t>
  </si>
  <si>
    <t xml:space="preserve">PZZA should trade at a discount to DPZ and WING (negative comps, no unit growth, levered balance sheet, suspended dividend) and closer to WEN and DENN. The range below is the applied judgement.</t>
  </si>
  <si>
    <t xml:space="preserve">Selected EV / EBITDA — low</t>
  </si>
  <si>
    <t xml:space="preserve">Selected EV / EBITDA — midpoint</t>
  </si>
  <si>
    <t xml:space="preserve">Selected EV / EBITDA — high</t>
  </si>
  <si>
    <t xml:space="preserve">FY2027E adjusted EBITDA</t>
  </si>
  <si>
    <t xml:space="preserve">Implied valuation</t>
  </si>
  <si>
    <t xml:space="preserve">Low</t>
  </si>
  <si>
    <t xml:space="preserve">Mid</t>
  </si>
  <si>
    <t xml:space="preserve">High</t>
  </si>
  <si>
    <t xml:space="preserve">Premium / (discount) to current</t>
  </si>
  <si>
    <t xml:space="preserve">PRECEDENT TRANSACTIONS</t>
  </si>
  <si>
    <t xml:space="preserve">Date</t>
  </si>
  <si>
    <t xml:space="preserve">Target</t>
  </si>
  <si>
    <t xml:space="preserve">Acquirer</t>
  </si>
  <si>
    <t xml:space="preserve">EV ($mm)</t>
  </si>
  <si>
    <t xml:space="preserve">LTM EBITDA</t>
  </si>
  <si>
    <t xml:space="preserve">EV / EBITDA</t>
  </si>
  <si>
    <t xml:space="preserve">Premium</t>
  </si>
  <si>
    <t xml:space="preserve">Oct-2025</t>
  </si>
  <si>
    <t xml:space="preserve">Papa John's (withdrawn)</t>
  </si>
  <si>
    <t xml:space="preserve">Apollo Global Mgmt</t>
  </si>
  <si>
    <t xml:space="preserve">Premium measured against the $48.20 undisturbed price before the June-2025 Semafor report.</t>
  </si>
  <si>
    <t xml:space="preserve">Fill the blue rows from an M&amp;A screen. Useful comparators: Apollo's own restaurant deals (CKE, Qdoba, CEC Entertainment) reportedly averaged c.7.7x EBITDA, and TriArtisan / Denny's (announced 2026) was c.$620mm including debt.</t>
  </si>
  <si>
    <t xml:space="preserve">BID POST-MORTEM  —  where $1.2 billion of equity value went</t>
  </si>
  <si>
    <t xml:space="preserve">Diluted share count is held constant at 33.1mm across both dates (actual at the bid date was c.33.0mm — immaterial), which makes the bridge tie exactly.</t>
  </si>
  <si>
    <t xml:space="preserve">1.  THEN AND NOW</t>
  </si>
  <si>
    <t xml:space="preserve">At the bid
Oct-2025</t>
  </si>
  <si>
    <t xml:space="preserve">Today
6-Aug-2026</t>
  </si>
  <si>
    <t xml:space="preserve">Change</t>
  </si>
  <si>
    <t xml:space="preserve">FY2026E adj. EBITDA as guided at the time</t>
  </si>
  <si>
    <t xml:space="preserve">EV / FY2026E adjusted EBITDA</t>
  </si>
  <si>
    <t xml:space="preserve">(2)% FY2025A</t>
  </si>
  <si>
    <t xml:space="preserve">(8.3)% Q2 FY2026</t>
  </si>
  <si>
    <t xml:space="preserve">Quarterly dividend</t>
  </si>
  <si>
    <t xml:space="preserve">$0.46 per share</t>
  </si>
  <si>
    <t xml:space="preserve">Suspended</t>
  </si>
  <si>
    <t xml:space="preserve">2.  EQUITY VALUE BRIDGE  —  $64.00 to $27.47</t>
  </si>
  <si>
    <t xml:space="preserve">$mm</t>
  </si>
  <si>
    <t xml:space="preserve">$ per share</t>
  </si>
  <si>
    <t xml:space="preserve">Equity value at Apollo's $64.00 bid</t>
  </si>
  <si>
    <t xml:space="preserve">(a)  EBITDA guidance cut, held at the bid-date multiple</t>
  </si>
  <si>
    <t xml:space="preserve">(b)  Multiple de-rating, applied to today's EBITDA</t>
  </si>
  <si>
    <t xml:space="preserve">Three quarters of the loss is multiple de-rating, not the earnings cut. The market did not just mark down the numbers — it withdrew the takeout premium embedded in the price and re-rated the business as a structurally challenged QSR.</t>
  </si>
  <si>
    <t xml:space="preserve">(c)  Increase in net debt</t>
  </si>
  <si>
    <t xml:space="preserve">(d)  Rounding</t>
  </si>
  <si>
    <t xml:space="preserve">Equity value today</t>
  </si>
  <si>
    <t xml:space="preserve">Check: actual equity value today</t>
  </si>
  <si>
    <t xml:space="preserve">3.  WHAT APOLLO HAD TO BELIEVE  —  reverse-engineering the $64.00 bid</t>
  </si>
  <si>
    <t xml:space="preserve">Applying an ordinary sponsor structure to the bid: 5.5x leverage on the EBITDA Papa John's was guiding to at the time.</t>
  </si>
  <si>
    <t xml:space="preserve">Entry enterprise value at $64.00</t>
  </si>
  <si>
    <t xml:space="preserve">Entry EBITDA (FY2026E as then guided)</t>
  </si>
  <si>
    <t xml:space="preserve">Total leverage (turns of entry EBITDA)</t>
  </si>
  <si>
    <t xml:space="preserve">Debt raised</t>
  </si>
  <si>
    <t xml:space="preserve">Existing gross debt refinanced</t>
  </si>
  <si>
    <t xml:space="preserve">FY2025 gross debt: $710.4mm long-term + $5.0mm current + $40.8mm finance leases.</t>
  </si>
  <si>
    <t xml:space="preserve">Total uses of funds</t>
  </si>
  <si>
    <t xml:space="preserve">Sponsor equity cheque required</t>
  </si>
  <si>
    <t xml:space="preserve">Sponsor equity as % of enterprise value</t>
  </si>
  <si>
    <t xml:space="preserve">Plus: assumed net debt at exit</t>
  </si>
  <si>
    <t xml:space="preserve">Blue cells are the generous assumptions handed to Apollo. Loosen them further and the conclusion does not change.</t>
  </si>
  <si>
    <t xml:space="preserve">Required exit enterprise value</t>
  </si>
  <si>
    <t xml:space="preserve">Assumed exit EV / EBITDA multiple</t>
  </si>
  <si>
    <t xml:space="preserve">Required FY2031 adjusted EBITDA</t>
  </si>
  <si>
    <t xml:space="preserve">Required EBITDA CAGR from the FY2026E base</t>
  </si>
  <si>
    <t xml:space="preserve">Memo: base-case FY2031E adjusted EBITDA in this model</t>
  </si>
  <si>
    <t xml:space="preserve">Memo: required EBITDA as a multiple of the base case</t>
  </si>
  <si>
    <t xml:space="preserve">Memo: required exit multiple if EBITDA only reaches the base case</t>
  </si>
  <si>
    <t xml:space="preserve">4.  CONCLUSION</t>
  </si>
  <si>
    <t xml:space="preserve">The $64.00 bid was never underwritable as a leveraged buyout. At 13.8x EBITDA the deal is roughly two thirds equity-funded,</t>
  </si>
  <si>
    <t xml:space="preserve">and clearing a normal sponsor return would have required Papa John's to roughly triple EBITDA in five years — or to be sold on</t>
  </si>
  <si>
    <t xml:space="preserve">a multiple no franchised pizza chain has ever commanded. Neither is a plan.</t>
  </si>
  <si>
    <t xml:space="preserve">The more likely reading is that Apollo bid a strategic price against a turnaround thesis and a soft consumer, then walked when</t>
  </si>
  <si>
    <t xml:space="preserve">diligence and the Q3 numbers showed North America comps deteriorating rather than stabilising. Because the bid had no financial</t>
  </si>
  <si>
    <t xml:space="preserve">floor beneath it, there was nothing to renegotiate down to — hence a withdrawal rather than a price cut.</t>
  </si>
  <si>
    <t xml:space="preserve">For the equity today the implication is uncomfortable. At $27.47 the stock still trades at 8.9x a guided-down EBITDA number, above</t>
  </si>
  <si>
    <t xml:space="preserve">this model's DCF value and well above what any disciplined sponsor could pay. The takeout floor investors have been leaning on</t>
  </si>
  <si>
    <t xml:space="preserve">since June 2025 is not a floor: it was one buyer, at one moment, on numbers that no longer exist.</t>
  </si>
  <si>
    <t xml:space="preserve">FOOTBALL FIELD  —  valuation summary</t>
  </si>
  <si>
    <t xml:space="preserve">Implied value per share. 'Range' is the plotted bar width; the chart stacks an invisible 'Low' base beneath it.</t>
  </si>
  <si>
    <t xml:space="preserve">SOLVE INPUTS</t>
  </si>
  <si>
    <t xml:space="preserve">Lower target IRR used for the LBO range</t>
  </si>
  <si>
    <t xml:space="preserve">Upper target IRR used for the LBO range</t>
  </si>
  <si>
    <t xml:space="preserve">Methodology</t>
  </si>
  <si>
    <t xml:space="preserve">Range</t>
  </si>
  <si>
    <t xml:space="preserve">Midpoint</t>
  </si>
  <si>
    <t xml:space="preserve">DCF — exit multiple, WACC 7.8% to 9.8%</t>
  </si>
  <si>
    <t xml:space="preserve">DCF — exit multiple 6.5x to 7.5x at base WACC</t>
  </si>
  <si>
    <t xml:space="preserve">DCF — perpetuity growth (+/- 10%)</t>
  </si>
  <si>
    <t xml:space="preserve">Trading comps — 6.0x to 8.0x FY2027E EBITDA</t>
  </si>
  <si>
    <t xml:space="preserve">LBO — maximum price at a 20% to 15% IRR</t>
  </si>
  <si>
    <t xml:space="preserve">Concluded value range (min low to max high)</t>
  </si>
  <si>
    <t xml:space="preserve">REFERENCE PRICES</t>
  </si>
  <si>
    <t xml:space="preserve">Current share price (6-Aug-2026)</t>
  </si>
  <si>
    <t xml:space="preserve">Apollo's withdrawn bid (Oct-2025)</t>
  </si>
  <si>
    <t xml:space="preserve">Undisturbed price before the June-2025 bid reports</t>
  </si>
  <si>
    <t xml:space="preserve">Semafor, 11-Jun-2025: PZZA was trading around $48 when the Apollo/Irth consortium bid in the low $60s.</t>
  </si>
  <si>
    <t xml:space="preserve">Every methodology lands below the current $27.47 share price, and all of them land far below Apollo's $64.00. The DCF and the LBO agree from opposite directions: the intrinsic value of the cash flows and the most a leveraged buyer could rationally pay both sit in the high teens to low twenties.</t>
  </si>
</sst>
</file>

<file path=xl/styles.xml><?xml version="1.0" encoding="utf-8"?>
<styleSheet xmlns="http://schemas.openxmlformats.org/spreadsheetml/2006/main">
  <numFmts count="12">
    <numFmt numFmtId="164" formatCode="General"/>
    <numFmt numFmtId="165" formatCode="\$#,##0.00;&quot;($&quot;#,##0.00\);\-"/>
    <numFmt numFmtId="166" formatCode="#,##0.0;\(#,##0.0\);\-"/>
    <numFmt numFmtId="167" formatCode="\$#,##0;&quot;($&quot;#,##0\);\-"/>
    <numFmt numFmtId="168" formatCode="0.0\x"/>
    <numFmt numFmtId="169" formatCode="0.0%;\(0.0%\);\-"/>
    <numFmt numFmtId="170" formatCode="0"/>
    <numFmt numFmtId="171" formatCode="0.00%;\(0.00%\);\-"/>
    <numFmt numFmtId="172" formatCode="0.00\x"/>
    <numFmt numFmtId="173" formatCode="0.00"/>
    <numFmt numFmtId="174" formatCode="#,##0;\(#,##0\);\-"/>
    <numFmt numFmtId="175" formatCode="0.000"/>
  </numFmts>
  <fonts count="3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26"/>
      <color rgb="FFFFFFFF"/>
      <name val="Arial"/>
      <family val="0"/>
      <charset val="1"/>
    </font>
    <font>
      <sz val="11"/>
      <color rgb="FFD9E2F3"/>
      <name val="Arial"/>
      <family val="0"/>
      <charset val="1"/>
    </font>
    <font>
      <b val="true"/>
      <sz val="10"/>
      <name val="Arial"/>
      <family val="0"/>
      <charset val="1"/>
    </font>
    <font>
      <sz val="10"/>
      <name val="Arial"/>
      <family val="0"/>
      <charset val="1"/>
    </font>
    <font>
      <b val="true"/>
      <sz val="11"/>
      <color rgb="FF1F3864"/>
      <name val="Arial"/>
      <family val="0"/>
      <charset val="1"/>
    </font>
    <font>
      <b val="true"/>
      <sz val="14"/>
      <color rgb="FFFFFFFF"/>
      <name val="Arial"/>
      <family val="0"/>
      <charset val="1"/>
    </font>
    <font>
      <i val="true"/>
      <sz val="8"/>
      <name val="Arial"/>
      <family val="0"/>
      <charset val="1"/>
    </font>
    <font>
      <b val="true"/>
      <sz val="10"/>
      <color rgb="FF1F3864"/>
      <name val="Arial"/>
      <family val="0"/>
      <charset val="1"/>
    </font>
    <font>
      <sz val="10"/>
      <color rgb="FF0000FF"/>
      <name val="Arial"/>
      <family val="0"/>
      <charset val="1"/>
    </font>
    <font>
      <i val="true"/>
      <sz val="8"/>
      <color rgb="FF808080"/>
      <name val="Arial"/>
      <family val="0"/>
      <charset val="1"/>
    </font>
    <font>
      <b val="true"/>
      <sz val="10"/>
      <color rgb="FF000000"/>
      <name val="Arial"/>
      <family val="0"/>
      <charset val="1"/>
    </font>
    <font>
      <b val="true"/>
      <sz val="10"/>
      <color rgb="FF0000FF"/>
      <name val="Arial"/>
      <family val="0"/>
      <charset val="1"/>
    </font>
    <font>
      <sz val="8"/>
      <color rgb="FF808080"/>
      <name val="Arial"/>
      <family val="0"/>
      <charset val="1"/>
    </font>
    <font>
      <sz val="10"/>
      <color rgb="FF008000"/>
      <name val="Arial"/>
      <family val="0"/>
      <charset val="1"/>
    </font>
    <font>
      <sz val="10"/>
      <color rgb="FF000000"/>
      <name val="Arial"/>
      <family val="0"/>
      <charset val="1"/>
    </font>
    <font>
      <i val="true"/>
      <sz val="10"/>
      <name val="Arial"/>
      <family val="0"/>
      <charset val="1"/>
    </font>
    <font>
      <i val="true"/>
      <sz val="10"/>
      <color rgb="FF000000"/>
      <name val="Arial"/>
      <family val="0"/>
      <charset val="1"/>
    </font>
    <font>
      <i val="true"/>
      <sz val="8"/>
      <color rgb="FF0000FF"/>
      <name val="Arial"/>
      <family val="0"/>
      <charset val="1"/>
    </font>
    <font>
      <i val="true"/>
      <sz val="8"/>
      <color rgb="FF000000"/>
      <name val="Arial"/>
      <family val="0"/>
      <charset val="1"/>
    </font>
    <font>
      <b val="true"/>
      <sz val="10"/>
      <color rgb="FF008000"/>
      <name val="Arial"/>
      <family val="0"/>
      <charset val="1"/>
    </font>
    <font>
      <i val="true"/>
      <sz val="9"/>
      <name val="Arial"/>
      <family val="0"/>
      <charset val="1"/>
    </font>
    <font>
      <i val="true"/>
      <sz val="9"/>
      <color rgb="FF000000"/>
      <name val="Arial"/>
      <family val="0"/>
      <charset val="1"/>
    </font>
    <font>
      <b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FFFF00"/>
        <bgColor rgb="FFFFFF00"/>
      </patternFill>
    </fill>
    <fill>
      <patternFill patternType="solid">
        <fgColor rgb="FFE2EFDA"/>
        <bgColor rgb="FFF2F2F2"/>
      </patternFill>
    </fill>
    <fill>
      <patternFill patternType="solid">
        <fgColor rgb="FFF2F2F2"/>
        <bgColor rgb="FFE2EFDA"/>
      </patternFill>
    </fill>
  </fills>
  <borders count="3">
    <border diagonalUp="false" diagonalDown="false">
      <left/>
      <right/>
      <top/>
      <bottom/>
      <diagonal/>
    </border>
    <border diagonalUp="false" diagonalDown="false">
      <left/>
      <right/>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1"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1" shrinkToFit="false"/>
      <protection locked="true" hidden="false"/>
    </xf>
    <xf numFmtId="170" fontId="16"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center" vertical="bottom" textRotation="0" wrapText="false" indent="0" shrinkToFit="false"/>
      <protection locked="true" hidden="false"/>
    </xf>
    <xf numFmtId="169" fontId="13" fillId="0" borderId="0" xfId="0" applyFont="true" applyBorder="false" applyAlignment="true" applyProtection="true">
      <alignment horizontal="general" vertical="bottom" textRotation="0" wrapText="false" indent="0" shrinkToFit="false"/>
      <protection locked="true" hidden="false"/>
    </xf>
    <xf numFmtId="169" fontId="15" fillId="4" borderId="0" xfId="0" applyFont="true" applyBorder="false" applyAlignment="true" applyProtection="true">
      <alignment horizontal="general" vertical="bottom" textRotation="0" wrapText="false" indent="0" shrinkToFit="false"/>
      <protection locked="true" hidden="false"/>
    </xf>
    <xf numFmtId="171" fontId="13" fillId="0" borderId="0" xfId="0" applyFont="true" applyBorder="false" applyAlignment="true" applyProtection="true">
      <alignment horizontal="general" vertical="bottom" textRotation="0" wrapText="false" indent="0" shrinkToFit="false"/>
      <protection locked="true" hidden="false"/>
    </xf>
    <xf numFmtId="172" fontId="13" fillId="0" borderId="0" xfId="0" applyFont="true" applyBorder="false" applyAlignment="true" applyProtection="true">
      <alignment horizontal="general" vertical="bottom" textRotation="0" wrapText="false" indent="0" shrinkToFit="false"/>
      <protection locked="true" hidden="false"/>
    </xf>
    <xf numFmtId="171" fontId="15" fillId="0" borderId="0" xfId="0" applyFont="true" applyBorder="false" applyAlignment="true" applyProtection="true">
      <alignment horizontal="general" vertical="bottom" textRotation="0" wrapText="false" indent="0" shrinkToFit="false"/>
      <protection locked="true" hidden="false"/>
    </xf>
    <xf numFmtId="171" fontId="15" fillId="4" borderId="0" xfId="0" applyFont="true" applyBorder="false" applyAlignment="true" applyProtection="true">
      <alignment horizontal="general" vertical="bottom" textRotation="0" wrapText="false" indent="0" shrinkToFit="false"/>
      <protection locked="true" hidden="false"/>
    </xf>
    <xf numFmtId="168" fontId="13" fillId="0" borderId="0" xfId="0" applyFont="true" applyBorder="false" applyAlignment="true" applyProtection="true">
      <alignment horizontal="general" vertical="bottom" textRotation="0" wrapText="false" indent="0" shrinkToFit="false"/>
      <protection locked="true" hidden="false"/>
    </xf>
    <xf numFmtId="173" fontId="13" fillId="0" borderId="0" xfId="0" applyFont="true" applyBorder="false" applyAlignment="true" applyProtection="true">
      <alignment horizontal="general" vertical="bottom" textRotation="0" wrapText="false" indent="0" shrinkToFit="false"/>
      <protection locked="true" hidden="false"/>
    </xf>
    <xf numFmtId="165" fontId="15" fillId="4" borderId="0" xfId="0" applyFont="true" applyBorder="false" applyAlignment="true" applyProtection="true">
      <alignment horizontal="general" vertical="bottom" textRotation="0" wrapText="false" indent="0" shrinkToFit="false"/>
      <protection locked="true" hidden="false"/>
    </xf>
    <xf numFmtId="168" fontId="15" fillId="4" borderId="0" xfId="0" applyFont="true" applyBorder="false" applyAlignment="true" applyProtection="true">
      <alignment horizontal="general" vertical="bottom" textRotation="0" wrapText="false" indent="0" shrinkToFit="false"/>
      <protection locked="true" hidden="false"/>
    </xf>
    <xf numFmtId="170" fontId="13"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1"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69" fontId="18" fillId="0" borderId="0" xfId="0" applyFont="true" applyBorder="false" applyAlignment="true" applyProtection="true">
      <alignment horizontal="general" vertical="bottom" textRotation="0" wrapText="false" indent="0" shrinkToFit="false"/>
      <protection locked="true" hidden="false"/>
    </xf>
    <xf numFmtId="167" fontId="19" fillId="0" borderId="0" xfId="0" applyFont="true" applyBorder="false" applyAlignment="true" applyProtection="true">
      <alignment horizontal="general" vertical="bottom" textRotation="0" wrapText="false" indent="0" shrinkToFit="false"/>
      <protection locked="true" hidden="false"/>
    </xf>
    <xf numFmtId="167" fontId="15" fillId="0" borderId="2"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2" shrinkToFit="false"/>
      <protection locked="true" hidden="false"/>
    </xf>
    <xf numFmtId="169" fontId="21" fillId="0" borderId="0" xfId="0" applyFont="true" applyBorder="false" applyAlignment="true" applyProtection="true">
      <alignment horizontal="general" vertical="bottom" textRotation="0" wrapText="false" indent="0" shrinkToFit="false"/>
      <protection locked="true" hidden="false"/>
    </xf>
    <xf numFmtId="174" fontId="13" fillId="0" borderId="0" xfId="0" applyFont="true" applyBorder="false" applyAlignment="true" applyProtection="true">
      <alignment horizontal="general" vertical="bottom" textRotation="0" wrapText="false" indent="0" shrinkToFit="false"/>
      <protection locked="true" hidden="false"/>
    </xf>
    <xf numFmtId="174" fontId="19" fillId="0" borderId="0" xfId="0" applyFont="true" applyBorder="false" applyAlignment="true" applyProtection="true">
      <alignment horizontal="general" vertical="bottom" textRotation="0" wrapText="false" indent="0" shrinkToFit="false"/>
      <protection locked="true" hidden="false"/>
    </xf>
    <xf numFmtId="174" fontId="15" fillId="0" borderId="2" xfId="0" applyFont="true" applyBorder="true" applyAlignment="true" applyProtection="true">
      <alignment horizontal="general" vertical="bottom" textRotation="0" wrapText="false" indent="0" shrinkToFit="false"/>
      <protection locked="true" hidden="false"/>
    </xf>
    <xf numFmtId="174" fontId="2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2" shrinkToFit="false"/>
      <protection locked="true" hidden="false"/>
    </xf>
    <xf numFmtId="167" fontId="22" fillId="0" borderId="0" xfId="0" applyFont="true" applyBorder="false" applyAlignment="true" applyProtection="true">
      <alignment horizontal="general" vertical="bottom" textRotation="0" wrapText="false" indent="0" shrinkToFit="false"/>
      <protection locked="true" hidden="false"/>
    </xf>
    <xf numFmtId="169" fontId="23" fillId="0" borderId="0" xfId="0" applyFont="true" applyBorder="false" applyAlignment="true" applyProtection="true">
      <alignment horizontal="general" vertical="bottom" textRotation="0" wrapText="false" indent="0" shrinkToFit="false"/>
      <protection locked="true" hidden="false"/>
    </xf>
    <xf numFmtId="169" fontId="19" fillId="0" borderId="0" xfId="0" applyFont="true" applyBorder="false" applyAlignment="true" applyProtection="true">
      <alignment horizontal="general" vertical="bottom" textRotation="0" wrapText="false" indent="0" shrinkToFit="false"/>
      <protection locked="true" hidden="false"/>
    </xf>
    <xf numFmtId="169" fontId="19" fillId="4"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7" fontId="24"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1" shrinkToFit="false"/>
      <protection locked="true" hidden="false"/>
    </xf>
    <xf numFmtId="171" fontId="18" fillId="0" borderId="0" xfId="0" applyFont="true" applyBorder="false" applyAlignment="true" applyProtection="true">
      <alignment horizontal="general" vertical="bottom" textRotation="0" wrapText="false" indent="0" shrinkToFit="false"/>
      <protection locked="true" hidden="false"/>
    </xf>
    <xf numFmtId="172" fontId="18" fillId="0" borderId="0" xfId="0" applyFont="true" applyBorder="false" applyAlignment="true" applyProtection="true">
      <alignment horizontal="general" vertical="bottom" textRotation="0" wrapText="false" indent="0" shrinkToFit="false"/>
      <protection locked="true" hidden="false"/>
    </xf>
    <xf numFmtId="171" fontId="19" fillId="0" borderId="0" xfId="0" applyFont="true" applyBorder="false" applyAlignment="true" applyProtection="true">
      <alignment horizontal="general" vertical="bottom" textRotation="0" wrapText="false" indent="0" shrinkToFit="false"/>
      <protection locked="true" hidden="false"/>
    </xf>
    <xf numFmtId="167" fontId="18" fillId="0" borderId="0" xfId="0" applyFont="true" applyBorder="false" applyAlignment="true" applyProtection="true">
      <alignment horizontal="general" vertical="bottom" textRotation="0" wrapText="false" indent="0" shrinkToFit="false"/>
      <protection locked="true" hidden="false"/>
    </xf>
    <xf numFmtId="173" fontId="18" fillId="0" borderId="0" xfId="0" applyFont="true" applyBorder="false" applyAlignment="true" applyProtection="true">
      <alignment horizontal="general" vertical="bottom" textRotation="0" wrapText="false" indent="0" shrinkToFit="false"/>
      <protection locked="true" hidden="false"/>
    </xf>
    <xf numFmtId="173" fontId="19" fillId="0" borderId="0" xfId="0" applyFont="true" applyBorder="false" applyAlignment="true" applyProtection="true">
      <alignment horizontal="general" vertical="bottom" textRotation="0" wrapText="false" indent="0" shrinkToFit="false"/>
      <protection locked="true" hidden="false"/>
    </xf>
    <xf numFmtId="175" fontId="19" fillId="0" borderId="0" xfId="0" applyFont="true" applyBorder="false" applyAlignment="true" applyProtection="true">
      <alignment horizontal="general" vertical="bottom" textRotation="0" wrapText="false" indent="0" shrinkToFit="false"/>
      <protection locked="true" hidden="false"/>
    </xf>
    <xf numFmtId="167" fontId="15" fillId="5" borderId="2" xfId="0" applyFont="true" applyBorder="true" applyAlignment="true" applyProtection="true">
      <alignment horizontal="general" vertical="bottom" textRotation="0" wrapText="false" indent="0" shrinkToFit="false"/>
      <protection locked="true" hidden="false"/>
    </xf>
    <xf numFmtId="168" fontId="18"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5" fontId="15" fillId="5" borderId="0" xfId="0" applyFont="true" applyBorder="false" applyAlignment="true" applyProtection="true">
      <alignment horizontal="general" vertical="bottom" textRotation="0" wrapText="false" indent="0" shrinkToFit="false"/>
      <protection locked="true" hidden="false"/>
    </xf>
    <xf numFmtId="168" fontId="19" fillId="0" borderId="0" xfId="0" applyFont="true" applyBorder="false" applyAlignment="true" applyProtection="true">
      <alignment horizontal="general" vertical="bottom" textRotation="0" wrapText="false" indent="0" shrinkToFit="false"/>
      <protection locked="true" hidden="false"/>
    </xf>
    <xf numFmtId="168" fontId="16" fillId="0" borderId="1" xfId="0" applyFont="true" applyBorder="true" applyAlignment="true" applyProtection="true">
      <alignment horizontal="center" vertical="bottom" textRotation="0" wrapText="false" indent="0" shrinkToFit="false"/>
      <protection locked="true" hidden="false"/>
    </xf>
    <xf numFmtId="171" fontId="16" fillId="0" borderId="0" xfId="0" applyFont="true" applyBorder="false" applyAlignment="true" applyProtection="true">
      <alignment horizontal="general" vertical="bottom" textRotation="0" wrapText="false" indent="0" shrinkToFit="false"/>
      <protection locked="true" hidden="false"/>
    </xf>
    <xf numFmtId="165" fontId="19" fillId="6" borderId="0" xfId="0" applyFont="true" applyBorder="false" applyAlignment="true" applyProtection="true">
      <alignment horizontal="general" vertical="bottom" textRotation="0" wrapText="false" indent="0" shrinkToFit="false"/>
      <protection locked="true" hidden="false"/>
    </xf>
    <xf numFmtId="165" fontId="19" fillId="5" borderId="0" xfId="0" applyFont="true" applyBorder="fals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7" fontId="23" fillId="0" borderId="0" xfId="0" applyFont="true" applyBorder="false" applyAlignment="true" applyProtection="true">
      <alignment horizontal="general" vertical="bottom" textRotation="0" wrapText="false" indent="0" shrinkToFit="false"/>
      <protection locked="true" hidden="false"/>
    </xf>
    <xf numFmtId="168" fontId="21"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1" shrinkToFit="false"/>
      <protection locked="true" hidden="false"/>
    </xf>
    <xf numFmtId="167" fontId="21" fillId="0" borderId="0" xfId="0" applyFont="true" applyBorder="false" applyAlignment="true" applyProtection="true">
      <alignment horizontal="general" vertical="bottom" textRotation="0" wrapText="false" indent="0" shrinkToFit="false"/>
      <protection locked="true" hidden="false"/>
    </xf>
    <xf numFmtId="172" fontId="19" fillId="0" borderId="0" xfId="0" applyFont="true" applyBorder="false" applyAlignment="true" applyProtection="true">
      <alignment horizontal="general" vertical="bottom" textRotation="0" wrapText="false" indent="0" shrinkToFit="false"/>
      <protection locked="true" hidden="false"/>
    </xf>
    <xf numFmtId="172" fontId="15" fillId="5" borderId="0" xfId="0" applyFont="true" applyBorder="false" applyAlignment="true" applyProtection="true">
      <alignment horizontal="general" vertical="bottom" textRotation="0" wrapText="false" indent="0" shrinkToFit="false"/>
      <protection locked="true" hidden="false"/>
    </xf>
    <xf numFmtId="169" fontId="15" fillId="5" borderId="0" xfId="0" applyFont="true" applyBorder="false" applyAlignment="true" applyProtection="true">
      <alignment horizontal="general" vertical="bottom" textRotation="0" wrapText="false" indent="0" shrinkToFit="false"/>
      <protection locked="true" hidden="false"/>
    </xf>
    <xf numFmtId="172" fontId="26" fillId="0" borderId="0" xfId="0" applyFont="true" applyBorder="false" applyAlignment="true" applyProtection="true">
      <alignment horizontal="general" vertical="bottom" textRotation="0" wrapText="false" indent="0" shrinkToFit="false"/>
      <protection locked="true" hidden="false"/>
    </xf>
    <xf numFmtId="169" fontId="26" fillId="0" borderId="0" xfId="0" applyFont="true" applyBorder="false" applyAlignment="true" applyProtection="true">
      <alignment horizontal="general" vertical="bottom" textRotation="0" wrapText="false" indent="0" shrinkToFit="false"/>
      <protection locked="true" hidden="false"/>
    </xf>
    <xf numFmtId="165" fontId="16" fillId="0" borderId="1" xfId="0" applyFont="true" applyBorder="true" applyAlignment="true" applyProtection="true">
      <alignment horizontal="center" vertical="bottom" textRotation="0" wrapText="false" indent="0" shrinkToFit="false"/>
      <protection locked="true" hidden="false"/>
    </xf>
    <xf numFmtId="168" fontId="16" fillId="0" borderId="0" xfId="0" applyFont="true" applyBorder="false" applyAlignment="true" applyProtection="true">
      <alignment horizontal="general" vertical="bottom" textRotation="0" wrapText="false" indent="0" shrinkToFit="false"/>
      <protection locked="true" hidden="false"/>
    </xf>
    <xf numFmtId="169" fontId="19" fillId="6" borderId="0" xfId="0" applyFont="true" applyBorder="false" applyAlignment="true" applyProtection="true">
      <alignment horizontal="general" vertical="bottom" textRotation="0" wrapText="false" indent="0" shrinkToFit="false"/>
      <protection locked="true" hidden="false"/>
    </xf>
    <xf numFmtId="169" fontId="19" fillId="5" borderId="0" xfId="0" applyFont="true" applyBorder="fals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center"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5" fontId="13" fillId="4" borderId="0" xfId="0" applyFont="true" applyBorder="false" applyAlignment="true" applyProtection="true">
      <alignment horizontal="general" vertical="bottom" textRotation="0" wrapText="false" indent="0" shrinkToFit="false"/>
      <protection locked="true" hidden="false"/>
    </xf>
    <xf numFmtId="166" fontId="13" fillId="4" borderId="0" xfId="0" applyFont="true" applyBorder="false" applyAlignment="true" applyProtection="true">
      <alignment horizontal="general" vertical="bottom" textRotation="0" wrapText="false" indent="0" shrinkToFit="false"/>
      <protection locked="true" hidden="false"/>
    </xf>
    <xf numFmtId="167" fontId="13" fillId="4"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8" fontId="15" fillId="0" borderId="2" xfId="0" applyFont="true" applyBorder="true" applyAlignment="true" applyProtection="true">
      <alignment horizontal="general" vertical="bottom" textRotation="0" wrapText="false" indent="0" shrinkToFit="false"/>
      <protection locked="true" hidden="false"/>
    </xf>
    <xf numFmtId="165" fontId="24" fillId="5" borderId="0" xfId="0" applyFont="true" applyBorder="false" applyAlignment="true" applyProtection="true">
      <alignment horizontal="general" vertical="bottom" textRotation="0" wrapText="false" indent="0" shrinkToFit="false"/>
      <protection locked="true" hidden="false"/>
    </xf>
    <xf numFmtId="166" fontId="24" fillId="5" borderId="0" xfId="0" applyFont="true" applyBorder="false" applyAlignment="true" applyProtection="true">
      <alignment horizontal="general" vertical="bottom" textRotation="0" wrapText="false" indent="0" shrinkToFit="false"/>
      <protection locked="true" hidden="false"/>
    </xf>
    <xf numFmtId="167" fontId="15" fillId="5" borderId="0" xfId="0" applyFont="true" applyBorder="false" applyAlignment="true" applyProtection="true">
      <alignment horizontal="general" vertical="bottom" textRotation="0" wrapText="false" indent="0" shrinkToFit="false"/>
      <protection locked="true" hidden="false"/>
    </xf>
    <xf numFmtId="167" fontId="24" fillId="5" borderId="0" xfId="0" applyFont="true" applyBorder="false" applyAlignment="true" applyProtection="true">
      <alignment horizontal="general" vertical="bottom" textRotation="0" wrapText="false" indent="0" shrinkToFit="false"/>
      <protection locked="true" hidden="false"/>
    </xf>
    <xf numFmtId="168" fontId="15" fillId="5" borderId="0" xfId="0" applyFont="true" applyBorder="false" applyAlignment="true" applyProtection="true">
      <alignment horizontal="general" vertical="bottom" textRotation="0" wrapText="false" indent="0" shrinkToFit="false"/>
      <protection locked="true" hidden="false"/>
    </xf>
    <xf numFmtId="168" fontId="13" fillId="4" borderId="0" xfId="0" applyFont="true" applyBorder="fals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center"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72" fontId="1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7" fontId="26" fillId="0" borderId="0" xfId="0" applyFont="true" applyBorder="false" applyAlignment="true" applyProtection="true">
      <alignment horizontal="general" vertical="bottom" textRotation="0" wrapText="false" indent="0" shrinkToFit="false"/>
      <protection locked="true" hidden="false"/>
    </xf>
    <xf numFmtId="165" fontId="26" fillId="0" borderId="0" xfId="0" applyFont="true" applyBorder="false" applyAlignment="true" applyProtection="true">
      <alignment horizontal="general" vertical="bottom" textRotation="0" wrapText="false" indent="0" shrinkToFit="false"/>
      <protection locked="true" hidden="false"/>
    </xf>
    <xf numFmtId="165" fontId="15" fillId="5" borderId="2" xfId="0" applyFont="true" applyBorder="true" applyAlignment="true" applyProtection="true">
      <alignment horizontal="general" vertical="bottom" textRotation="0" wrapText="false" indent="0" shrinkToFit="false"/>
      <protection locked="true" hidden="false"/>
    </xf>
    <xf numFmtId="165" fontId="21" fillId="0" borderId="0" xfId="0" applyFont="true" applyBorder="false" applyAlignment="true" applyProtection="true">
      <alignment horizontal="general" vertical="bottom" textRotation="0" wrapText="false" indent="0" shrinkToFit="false"/>
      <protection locked="true" hidden="false"/>
    </xf>
    <xf numFmtId="167" fontId="16" fillId="4" borderId="0" xfId="0" applyFont="true" applyBorder="false" applyAlignment="true" applyProtection="true">
      <alignment horizontal="general" vertical="bottom" textRotation="0" wrapText="false" indent="0" shrinkToFit="false"/>
      <protection locked="true" hidden="false"/>
    </xf>
    <xf numFmtId="170" fontId="19" fillId="0" borderId="0" xfId="0" applyFont="true" applyBorder="false" applyAlignment="true" applyProtection="true">
      <alignment horizontal="general" vertical="bottom" textRotation="0" wrapText="false" indent="0" shrinkToFit="false"/>
      <protection locked="true" hidden="false"/>
    </xf>
    <xf numFmtId="168" fontId="16" fillId="4" borderId="0" xfId="0" applyFont="true" applyBorder="false" applyAlignment="true" applyProtection="true">
      <alignment horizontal="general" vertical="bottom" textRotation="0" wrapText="false" indent="0" shrinkToFit="false"/>
      <protection locked="true" hidden="false"/>
    </xf>
    <xf numFmtId="167" fontId="26" fillId="5" borderId="0" xfId="0" applyFont="true" applyBorder="false" applyAlignment="true" applyProtection="true">
      <alignment horizontal="general" vertical="bottom" textRotation="0" wrapText="false" indent="0" shrinkToFit="false"/>
      <protection locked="true" hidden="false"/>
    </xf>
    <xf numFmtId="172" fontId="26" fillId="5" borderId="0" xfId="0" applyFont="true" applyBorder="false" applyAlignment="true" applyProtection="true">
      <alignment horizontal="general" vertical="bottom" textRotation="0" wrapText="false" indent="0" shrinkToFit="false"/>
      <protection locked="true" hidden="false"/>
    </xf>
    <xf numFmtId="169" fontId="13" fillId="4" borderId="0" xfId="0" applyFont="true" applyBorder="false" applyAlignment="true" applyProtection="true">
      <alignment horizontal="general" vertical="bottom" textRotation="0" wrapText="false" indent="0" shrinkToFit="false"/>
      <protection locked="true" hidden="false"/>
    </xf>
    <xf numFmtId="165" fontId="24"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C55A11"/>
      <rgbColor rgb="FF666699"/>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PZZA implied value per share ($)</a:t>
            </a:r>
          </a:p>
        </c:rich>
      </c:tx>
      <c:overlay val="0"/>
      <c:spPr>
        <a:noFill/>
        <a:ln w="0">
          <a:noFill/>
        </a:ln>
      </c:spPr>
    </c:title>
    <c:autoTitleDeleted val="0"/>
    <c:plotArea>
      <c:barChart>
        <c:barDir val="bar"/>
        <c:grouping val="stacked"/>
        <c:varyColors val="0"/>
        <c:ser>
          <c:idx val="0"/>
          <c:order val="0"/>
          <c:tx>
            <c:strRef>
              <c:f>'Football Field'!B7</c:f>
              <c:strCache>
                <c:ptCount val="1"/>
                <c:pt idx="0">
                  <c:v>Low</c:v>
                </c:pt>
              </c:strCache>
            </c:strRef>
          </c:tx>
          <c:spPr>
            <a:no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Field'!$A$8:$A$12</c:f>
              <c:strCache>
                <c:ptCount val="5"/>
                <c:pt idx="0">
                  <c:v>DCF — exit multiple, WACC 7.8% to 9.8%</c:v>
                </c:pt>
                <c:pt idx="1">
                  <c:v>DCF — exit multiple 6.5x to 7.5x at base WACC</c:v>
                </c:pt>
                <c:pt idx="2">
                  <c:v>DCF — perpetuity growth (+/- 10%)</c:v>
                </c:pt>
                <c:pt idx="3">
                  <c:v>Trading comps — 6.0x to 8.0x FY2027E EBITDA</c:v>
                </c:pt>
                <c:pt idx="4">
                  <c:v>LBO — maximum price at a 20% to 15% IRR</c:v>
                </c:pt>
              </c:strCache>
            </c:strRef>
          </c:cat>
          <c:val>
            <c:numRef>
              <c:f>'Football Field'!$B$8:$B$12</c:f>
              <c:numCache>
                <c:formatCode>\$#,##0.00;"($"#,##0.00\);\-</c:formatCode>
                <c:ptCount val="5"/>
                <c:pt idx="0">
                  <c:v>19.4269337114415</c:v>
                </c:pt>
                <c:pt idx="1">
                  <c:v>18.9999879027781</c:v>
                </c:pt>
                <c:pt idx="2">
                  <c:v>17.3559126971014</c:v>
                </c:pt>
                <c:pt idx="3">
                  <c:v>12.186057359846</c:v>
                </c:pt>
                <c:pt idx="4">
                  <c:v>17.7231844359549</c:v>
                </c:pt>
              </c:numCache>
            </c:numRef>
          </c:val>
        </c:ser>
        <c:ser>
          <c:idx val="1"/>
          <c:order val="1"/>
          <c:tx>
            <c:strRef>
              <c:f>'Football Field'!C7</c:f>
              <c:strCache>
                <c:ptCount val="1"/>
                <c:pt idx="0">
                  <c:v>Range</c:v>
                </c:pt>
              </c:strCache>
            </c:strRef>
          </c:tx>
          <c:spPr>
            <a:solidFill>
              <a:srgbClr val="1f3864"/>
            </a:solidFill>
            <a:ln w="0">
              <a:solidFill>
                <a:srgbClr val="1f3864"/>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Field'!$A$8:$A$12</c:f>
              <c:strCache>
                <c:ptCount val="5"/>
                <c:pt idx="0">
                  <c:v>DCF — exit multiple, WACC 7.8% to 9.8%</c:v>
                </c:pt>
                <c:pt idx="1">
                  <c:v>DCF — exit multiple 6.5x to 7.5x at base WACC</c:v>
                </c:pt>
                <c:pt idx="2">
                  <c:v>DCF — perpetuity growth (+/- 10%)</c:v>
                </c:pt>
                <c:pt idx="3">
                  <c:v>Trading comps — 6.0x to 8.0x FY2027E EBITDA</c:v>
                </c:pt>
                <c:pt idx="4">
                  <c:v>LBO — maximum price at a 20% to 15% IRR</c:v>
                </c:pt>
              </c:strCache>
            </c:strRef>
          </c:cat>
          <c:val>
            <c:numRef>
              <c:f>'Football Field'!$C$8:$C$12</c:f>
              <c:numCache>
                <c:formatCode>\$#,##0.00;"($"#,##0.00\);\-</c:formatCode>
                <c:ptCount val="5"/>
                <c:pt idx="0">
                  <c:v>3.66369449695768</c:v>
                </c:pt>
                <c:pt idx="1">
                  <c:v>4.41519060566254</c:v>
                </c:pt>
                <c:pt idx="2">
                  <c:v>3.85686948824476</c:v>
                </c:pt>
                <c:pt idx="3">
                  <c:v>11.4819586969879</c:v>
                </c:pt>
                <c:pt idx="4">
                  <c:v>2.6606017816549</c:v>
                </c:pt>
              </c:numCache>
            </c:numRef>
          </c:val>
        </c:ser>
        <c:gapWidth val="150"/>
        <c:overlap val="100"/>
        <c:axId val="92836818"/>
        <c:axId val="13939651"/>
      </c:barChart>
      <c:catAx>
        <c:axId val="9283681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share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939651"/>
        <c:crosses val="autoZero"/>
        <c:auto val="1"/>
        <c:lblAlgn val="ctr"/>
        <c:lblOffset val="100"/>
        <c:noMultiLvlLbl val="0"/>
      </c:catAx>
      <c:valAx>
        <c:axId val="13939651"/>
        <c:scaling>
          <c:orientation val="minMax"/>
        </c:scaling>
        <c:delete val="0"/>
        <c:axPos val="l"/>
        <c:majorGridlines>
          <c:spPr>
            <a:ln w="9360">
              <a:solidFill>
                <a:srgbClr val="878787"/>
              </a:solidFill>
              <a:round/>
            </a:ln>
          </c:spPr>
        </c:majorGridlines>
        <c:numFmt formatCode="\$#,##0.00;&quot;($&quot;#,##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8368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160560</xdr:rowOff>
    </xdr:from>
    <xdr:to>
      <xdr:col>5</xdr:col>
      <xdr:colOff>588600</xdr:colOff>
      <xdr:row>39</xdr:row>
      <xdr:rowOff>161280</xdr:rowOff>
    </xdr:to>
    <xdr:graphicFrame>
      <xdr:nvGraphicFramePr>
        <xdr:cNvPr id="0" name="Chart 1"/>
        <xdr:cNvGraphicFramePr/>
      </xdr:nvGraphicFramePr>
      <xdr:xfrm>
        <a:off x="0" y="4381560"/>
        <a:ext cx="7918920" cy="323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78"/>
  </cols>
  <sheetData>
    <row r="2" customFormat="false" ht="22.05" hidden="false" customHeight="false" outlineLevel="0" collapsed="false">
      <c r="B2" s="2" t="s">
        <v>0</v>
      </c>
      <c r="C2" s="3"/>
    </row>
    <row r="3" customFormat="false" ht="15" hidden="false" customHeight="false" outlineLevel="0" collapsed="false">
      <c r="B3" s="3"/>
      <c r="C3" s="3"/>
    </row>
    <row r="4" customFormat="false" ht="31.5" hidden="false" customHeight="false" outlineLevel="0" collapsed="false">
      <c r="B4" s="4" t="s">
        <v>1</v>
      </c>
      <c r="C4" s="3"/>
    </row>
    <row r="5" customFormat="false" ht="15" hidden="false" customHeight="false" outlineLevel="0" collapsed="false">
      <c r="B5" s="5" t="s">
        <v>2</v>
      </c>
      <c r="C5" s="3"/>
    </row>
    <row r="6" customFormat="false" ht="15" hidden="false" customHeight="false" outlineLevel="0" collapsed="false">
      <c r="B6" s="3"/>
      <c r="C6" s="3"/>
    </row>
    <row r="8" customFormat="false" ht="15" hidden="false" customHeight="false" outlineLevel="0" collapsed="false">
      <c r="B8" s="6"/>
      <c r="C8" s="7"/>
    </row>
    <row r="9" customFormat="false" ht="15" hidden="false" customHeight="false" outlineLevel="0" collapsed="false">
      <c r="B9" s="6" t="s">
        <v>3</v>
      </c>
      <c r="C9" s="7" t="s">
        <v>4</v>
      </c>
    </row>
    <row r="10" customFormat="false" ht="15" hidden="false" customHeight="false" outlineLevel="0" collapsed="false">
      <c r="B10" s="6" t="s">
        <v>5</v>
      </c>
      <c r="C10" s="7" t="s">
        <v>6</v>
      </c>
    </row>
    <row r="11" customFormat="false" ht="15" hidden="false" customHeight="false" outlineLevel="0" collapsed="false">
      <c r="B11" s="6" t="s">
        <v>7</v>
      </c>
      <c r="C11" s="7" t="s">
        <v>8</v>
      </c>
    </row>
    <row r="12" customFormat="false" ht="15" hidden="false" customHeight="false" outlineLevel="0" collapsed="false">
      <c r="B12" s="6" t="s">
        <v>9</v>
      </c>
      <c r="C12" s="7" t="s">
        <v>10</v>
      </c>
    </row>
    <row r="13" customFormat="false" ht="15" hidden="false" customHeight="false" outlineLevel="0" collapsed="false">
      <c r="B13" s="6"/>
      <c r="C13" s="7"/>
    </row>
    <row r="14" customFormat="false" ht="15" hidden="false" customHeight="false" outlineLevel="0" collapsed="false">
      <c r="B14" s="8" t="s">
        <v>11</v>
      </c>
    </row>
    <row r="15" customFormat="false" ht="15" hidden="false" customHeight="false" outlineLevel="0" collapsed="false">
      <c r="B15" s="6"/>
      <c r="C15" s="7" t="s">
        <v>12</v>
      </c>
    </row>
    <row r="16" customFormat="false" ht="15" hidden="false" customHeight="false" outlineLevel="0" collapsed="false">
      <c r="B16" s="6"/>
      <c r="C16" s="7" t="s">
        <v>13</v>
      </c>
    </row>
    <row r="17" customFormat="false" ht="15" hidden="false" customHeight="false" outlineLevel="0" collapsed="false">
      <c r="B17" s="6"/>
      <c r="C17" s="7" t="s">
        <v>14</v>
      </c>
    </row>
    <row r="18" customFormat="false" ht="15" hidden="false" customHeight="false" outlineLevel="0" collapsed="false">
      <c r="B18" s="6"/>
      <c r="C18" s="7" t="s">
        <v>15</v>
      </c>
    </row>
    <row r="19" customFormat="false" ht="15" hidden="false" customHeight="false" outlineLevel="0" collapsed="false">
      <c r="B19" s="6"/>
      <c r="C19" s="7"/>
    </row>
    <row r="20" customFormat="false" ht="15" hidden="false" customHeight="false" outlineLevel="0" collapsed="false">
      <c r="B20" s="6"/>
      <c r="C20" s="7" t="s">
        <v>16</v>
      </c>
    </row>
    <row r="21" customFormat="false" ht="15" hidden="false" customHeight="false" outlineLevel="0" collapsed="false">
      <c r="B21" s="6"/>
      <c r="C21" s="7" t="s">
        <v>17</v>
      </c>
    </row>
    <row r="22" customFormat="false" ht="15" hidden="false" customHeight="false" outlineLevel="0" collapsed="false">
      <c r="B22" s="6"/>
      <c r="C22" s="7" t="s">
        <v>18</v>
      </c>
    </row>
    <row r="23" customFormat="false" ht="15" hidden="false" customHeight="false" outlineLevel="0" collapsed="false">
      <c r="B23" s="6"/>
      <c r="C23" s="7"/>
    </row>
    <row r="24" customFormat="false" ht="15" hidden="false" customHeight="false" outlineLevel="0" collapsed="false">
      <c r="B24" s="8" t="s">
        <v>19</v>
      </c>
    </row>
    <row r="25" customFormat="false" ht="15" hidden="false" customHeight="false" outlineLevel="0" collapsed="false">
      <c r="B25" s="6" t="s">
        <v>20</v>
      </c>
      <c r="C25" s="7" t="s">
        <v>21</v>
      </c>
    </row>
    <row r="26" customFormat="false" ht="15" hidden="false" customHeight="false" outlineLevel="0" collapsed="false">
      <c r="B26" s="6" t="s">
        <v>22</v>
      </c>
      <c r="C26" s="7" t="s">
        <v>23</v>
      </c>
    </row>
    <row r="27" customFormat="false" ht="15" hidden="false" customHeight="false" outlineLevel="0" collapsed="false">
      <c r="B27" s="6" t="s">
        <v>24</v>
      </c>
      <c r="C27" s="7" t="s">
        <v>25</v>
      </c>
    </row>
    <row r="28" customFormat="false" ht="15" hidden="false" customHeight="false" outlineLevel="0" collapsed="false">
      <c r="B28" s="6" t="s">
        <v>26</v>
      </c>
      <c r="C28" s="7" t="s">
        <v>27</v>
      </c>
    </row>
    <row r="29" customFormat="false" ht="15" hidden="false" customHeight="false" outlineLevel="0" collapsed="false">
      <c r="B29" s="6" t="s">
        <v>28</v>
      </c>
      <c r="C29" s="7" t="s">
        <v>29</v>
      </c>
    </row>
    <row r="30" customFormat="false" ht="15" hidden="false" customHeight="false" outlineLevel="0" collapsed="false">
      <c r="B30" s="6" t="s">
        <v>30</v>
      </c>
      <c r="C30" s="7" t="s">
        <v>31</v>
      </c>
    </row>
    <row r="31" customFormat="false" ht="15" hidden="false" customHeight="false" outlineLevel="0" collapsed="false">
      <c r="B31" s="6" t="s">
        <v>32</v>
      </c>
      <c r="C31" s="7" t="s">
        <v>33</v>
      </c>
    </row>
    <row r="32" customFormat="false" ht="15" hidden="false" customHeight="false" outlineLevel="0" collapsed="false">
      <c r="B32" s="6"/>
      <c r="C32" s="7"/>
    </row>
    <row r="33" customFormat="false" ht="15" hidden="false" customHeight="false" outlineLevel="0" collapsed="false">
      <c r="B33" s="8" t="s">
        <v>34</v>
      </c>
    </row>
    <row r="34" customFormat="false" ht="15" hidden="false" customHeight="false" outlineLevel="0" collapsed="false">
      <c r="B34" s="6" t="s">
        <v>35</v>
      </c>
      <c r="C34" s="7" t="s">
        <v>36</v>
      </c>
    </row>
    <row r="35" customFormat="false" ht="15" hidden="false" customHeight="false" outlineLevel="0" collapsed="false">
      <c r="B35" s="6" t="s">
        <v>37</v>
      </c>
      <c r="C35" s="7" t="s">
        <v>38</v>
      </c>
    </row>
    <row r="36" customFormat="false" ht="15" hidden="false" customHeight="false" outlineLevel="0" collapsed="false">
      <c r="B36" s="6" t="s">
        <v>39</v>
      </c>
      <c r="C36" s="7" t="s">
        <v>40</v>
      </c>
    </row>
    <row r="37" customFormat="false" ht="15" hidden="false" customHeight="false" outlineLevel="0" collapsed="false">
      <c r="B37" s="6" t="s">
        <v>41</v>
      </c>
      <c r="C37" s="7" t="s">
        <v>42</v>
      </c>
    </row>
    <row r="38" customFormat="false" ht="15" hidden="false" customHeight="false" outlineLevel="0" collapsed="false">
      <c r="B38" s="6" t="s">
        <v>43</v>
      </c>
      <c r="C38" s="7" t="s">
        <v>44</v>
      </c>
    </row>
    <row r="39" customFormat="false" ht="15" hidden="false" customHeight="false" outlineLevel="0" collapsed="false">
      <c r="B39" s="6"/>
      <c r="C39" s="7"/>
    </row>
    <row r="40" customFormat="false" ht="15" hidden="false" customHeight="false" outlineLevel="0" collapsed="false">
      <c r="B40" s="8" t="s">
        <v>45</v>
      </c>
    </row>
    <row r="41" customFormat="false" ht="15" hidden="false" customHeight="false" outlineLevel="0" collapsed="false">
      <c r="B41" s="6"/>
      <c r="C41" s="7" t="s">
        <v>46</v>
      </c>
    </row>
    <row r="42" customFormat="false" ht="15" hidden="false" customHeight="false" outlineLevel="0" collapsed="false">
      <c r="B42" s="6"/>
      <c r="C42" s="7" t="s">
        <v>47</v>
      </c>
    </row>
    <row r="43" customFormat="false" ht="15" hidden="false" customHeight="false" outlineLevel="0" collapsed="false">
      <c r="B43" s="6"/>
      <c r="C43" s="7" t="s">
        <v>48</v>
      </c>
    </row>
    <row r="44" customFormat="false" ht="15" hidden="false" customHeight="false" outlineLevel="0" collapsed="false">
      <c r="B44" s="6"/>
      <c r="C44" s="7" t="s">
        <v>49</v>
      </c>
    </row>
    <row r="45" customFormat="false" ht="15" hidden="false" customHeight="false" outlineLevel="0" collapsed="false">
      <c r="B45" s="6"/>
      <c r="C45" s="7"/>
    </row>
    <row r="46" customFormat="false" ht="15" hidden="false" customHeight="false" outlineLevel="0" collapsed="false">
      <c r="B46" s="8" t="s">
        <v>50</v>
      </c>
    </row>
    <row r="47" customFormat="false" ht="15" hidden="false" customHeight="false" outlineLevel="0" collapsed="false">
      <c r="B47" s="6"/>
      <c r="C47" s="7" t="s">
        <v>51</v>
      </c>
    </row>
    <row r="48" customFormat="false" ht="15" hidden="false" customHeight="false" outlineLevel="0" collapsed="false">
      <c r="B48" s="6"/>
      <c r="C48" s="7" t="s">
        <v>52</v>
      </c>
    </row>
    <row r="49" customFormat="false" ht="15" hidden="false" customHeight="false" outlineLevel="0" collapsed="false">
      <c r="B49" s="6"/>
      <c r="C49" s="7" t="s">
        <v>53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4"/>
    <col collapsed="false" customWidth="true" hidden="false" outlineLevel="0" max="5" min="3" style="1" width="12"/>
    <col collapsed="false" customWidth="true" hidden="false" outlineLevel="0" max="6" min="6" style="1" width="14"/>
    <col collapsed="false" customWidth="true" hidden="false" outlineLevel="0" max="7" min="7" style="1" width="3"/>
    <col collapsed="false" customWidth="true" hidden="false" outlineLevel="0" max="8" min="8" style="1" width="74"/>
  </cols>
  <sheetData>
    <row r="1" customFormat="false" ht="17.35" hidden="false" customHeight="false" outlineLevel="0" collapsed="false">
      <c r="A1" s="9" t="s">
        <v>54</v>
      </c>
      <c r="B1" s="3"/>
      <c r="C1" s="3"/>
      <c r="D1" s="3"/>
      <c r="E1" s="3"/>
      <c r="F1" s="3"/>
      <c r="G1" s="3"/>
      <c r="H1" s="3"/>
    </row>
    <row r="2" customFormat="false" ht="15" hidden="false" customHeight="false" outlineLevel="0" collapsed="false">
      <c r="A2" s="10" t="s">
        <v>55</v>
      </c>
    </row>
    <row r="4" customFormat="false" ht="15" hidden="false" customHeight="false" outlineLevel="0" collapsed="false">
      <c r="A4" s="11" t="s">
        <v>56</v>
      </c>
      <c r="B4" s="11"/>
      <c r="C4" s="11"/>
      <c r="D4" s="11"/>
      <c r="E4" s="11"/>
      <c r="F4" s="11"/>
      <c r="G4" s="11"/>
      <c r="H4" s="11"/>
    </row>
    <row r="5" customFormat="false" ht="15" hidden="false" customHeight="false" outlineLevel="0" collapsed="false">
      <c r="A5" s="12" t="s">
        <v>57</v>
      </c>
      <c r="B5" s="13" t="n">
        <v>27.47</v>
      </c>
      <c r="H5" s="14" t="s">
        <v>58</v>
      </c>
    </row>
    <row r="6" customFormat="false" ht="15" hidden="false" customHeight="false" outlineLevel="0" collapsed="false">
      <c r="A6" s="12" t="s">
        <v>59</v>
      </c>
      <c r="B6" s="15" t="n">
        <v>33.1</v>
      </c>
      <c r="H6" s="14" t="s">
        <v>60</v>
      </c>
    </row>
    <row r="7" customFormat="false" ht="15" hidden="false" customHeight="false" outlineLevel="0" collapsed="false">
      <c r="A7" s="12" t="s">
        <v>61</v>
      </c>
      <c r="B7" s="16" t="n">
        <f aca="false">B5*B6</f>
        <v>909.257</v>
      </c>
    </row>
    <row r="8" customFormat="false" ht="15" hidden="false" customHeight="false" outlineLevel="0" collapsed="false">
      <c r="A8" s="12" t="s">
        <v>62</v>
      </c>
      <c r="B8" s="17" t="n">
        <v>727.5</v>
      </c>
      <c r="H8" s="14" t="s">
        <v>63</v>
      </c>
    </row>
    <row r="9" customFormat="false" ht="15" hidden="false" customHeight="false" outlineLevel="0" collapsed="false">
      <c r="A9" s="12" t="s">
        <v>64</v>
      </c>
      <c r="B9" s="17" t="n">
        <v>37.8</v>
      </c>
      <c r="H9" s="14" t="s">
        <v>65</v>
      </c>
    </row>
    <row r="10" customFormat="false" ht="15" hidden="false" customHeight="false" outlineLevel="0" collapsed="false">
      <c r="A10" s="12" t="s">
        <v>66</v>
      </c>
      <c r="B10" s="16" t="n">
        <f aca="false">B8+B9</f>
        <v>765.3</v>
      </c>
    </row>
    <row r="11" customFormat="false" ht="15" hidden="false" customHeight="false" outlineLevel="0" collapsed="false">
      <c r="A11" s="12" t="s">
        <v>67</v>
      </c>
      <c r="B11" s="17" t="n">
        <v>28.5</v>
      </c>
      <c r="H11" s="14" t="s">
        <v>68</v>
      </c>
    </row>
    <row r="12" customFormat="false" ht="15" hidden="false" customHeight="false" outlineLevel="0" collapsed="false">
      <c r="A12" s="12" t="s">
        <v>69</v>
      </c>
      <c r="B12" s="16" t="n">
        <f aca="false">B10-B11</f>
        <v>736.8</v>
      </c>
    </row>
    <row r="13" customFormat="false" ht="15" hidden="false" customHeight="false" outlineLevel="0" collapsed="false">
      <c r="A13" s="12" t="s">
        <v>70</v>
      </c>
      <c r="B13" s="16" t="n">
        <f aca="false">B7+B12</f>
        <v>1646.057</v>
      </c>
    </row>
    <row r="14" customFormat="false" ht="15" hidden="false" customHeight="false" outlineLevel="0" collapsed="false">
      <c r="A14" s="12" t="s">
        <v>71</v>
      </c>
      <c r="B14" s="18" t="n">
        <f aca="false">B13/B41</f>
        <v>8.8976054054054</v>
      </c>
      <c r="H14" s="14" t="s">
        <v>72</v>
      </c>
    </row>
    <row r="16" customFormat="false" ht="15" hidden="false" customHeight="false" outlineLevel="0" collapsed="false">
      <c r="A16" s="11" t="s">
        <v>73</v>
      </c>
      <c r="B16" s="11"/>
      <c r="C16" s="11"/>
      <c r="D16" s="11"/>
      <c r="E16" s="11"/>
      <c r="F16" s="11"/>
      <c r="G16" s="11"/>
      <c r="H16" s="11"/>
    </row>
    <row r="17" customFormat="false" ht="15" hidden="false" customHeight="false" outlineLevel="0" collapsed="false">
      <c r="A17" s="12" t="s">
        <v>74</v>
      </c>
      <c r="B17" s="13" t="n">
        <v>64</v>
      </c>
      <c r="H17" s="14" t="s">
        <v>75</v>
      </c>
    </row>
    <row r="18" customFormat="false" ht="15" hidden="false" customHeight="false" outlineLevel="0" collapsed="false">
      <c r="A18" s="12" t="s">
        <v>76</v>
      </c>
      <c r="B18" s="16" t="n">
        <f aca="false">B17*B6</f>
        <v>2118.4</v>
      </c>
    </row>
    <row r="19" customFormat="false" ht="15" hidden="false" customHeight="false" outlineLevel="0" collapsed="false">
      <c r="A19" s="12" t="s">
        <v>77</v>
      </c>
      <c r="B19" s="17" t="n">
        <v>719.3</v>
      </c>
      <c r="H19" s="14" t="s">
        <v>78</v>
      </c>
    </row>
    <row r="20" customFormat="false" ht="15" hidden="false" customHeight="false" outlineLevel="0" collapsed="false">
      <c r="A20" s="12" t="s">
        <v>79</v>
      </c>
      <c r="B20" s="16" t="n">
        <f aca="false">B18+B19</f>
        <v>2837.7</v>
      </c>
    </row>
    <row r="21" customFormat="false" ht="15" hidden="false" customHeight="false" outlineLevel="0" collapsed="false">
      <c r="A21" s="12" t="s">
        <v>80</v>
      </c>
      <c r="B21" s="17" t="n">
        <v>205</v>
      </c>
      <c r="H21" s="14" t="s">
        <v>81</v>
      </c>
    </row>
    <row r="22" customFormat="false" ht="15" hidden="false" customHeight="false" outlineLevel="0" collapsed="false">
      <c r="A22" s="12" t="s">
        <v>82</v>
      </c>
      <c r="B22" s="18" t="n">
        <f aca="false">B20/B21</f>
        <v>13.8424390243902</v>
      </c>
      <c r="H22" s="14" t="s">
        <v>83</v>
      </c>
    </row>
    <row r="23" customFormat="false" ht="15" hidden="false" customHeight="false" outlineLevel="0" collapsed="false">
      <c r="A23" s="12" t="s">
        <v>84</v>
      </c>
      <c r="B23" s="19" t="n">
        <f aca="false">B5/B17</f>
        <v>0.42921875</v>
      </c>
    </row>
    <row r="25" customFormat="false" ht="15" hidden="false" customHeight="false" outlineLevel="0" collapsed="false">
      <c r="A25" s="11" t="s">
        <v>85</v>
      </c>
      <c r="B25" s="11"/>
      <c r="C25" s="11"/>
      <c r="D25" s="11"/>
      <c r="E25" s="11"/>
      <c r="F25" s="11"/>
      <c r="G25" s="11"/>
      <c r="H25" s="11"/>
    </row>
    <row r="26" customFormat="false" ht="15" hidden="false" customHeight="false" outlineLevel="0" collapsed="false">
      <c r="A26" s="20" t="s">
        <v>86</v>
      </c>
      <c r="B26" s="21" t="n">
        <v>2</v>
      </c>
    </row>
    <row r="27" customFormat="false" ht="15" hidden="false" customHeight="false" outlineLevel="0" collapsed="false">
      <c r="A27" s="12" t="s">
        <v>87</v>
      </c>
      <c r="B27" s="22" t="str">
        <f aca="false">INDEX($C$29:$E$29,1,$B$26)</f>
        <v>Base</v>
      </c>
    </row>
    <row r="29" customFormat="false" ht="15" hidden="false" customHeight="false" outlineLevel="0" collapsed="false">
      <c r="A29" s="23" t="s">
        <v>88</v>
      </c>
      <c r="C29" s="24" t="s">
        <v>89</v>
      </c>
      <c r="D29" s="24" t="s">
        <v>90</v>
      </c>
      <c r="E29" s="24" t="s">
        <v>91</v>
      </c>
      <c r="F29" s="25" t="s">
        <v>92</v>
      </c>
    </row>
    <row r="30" customFormat="false" ht="15" hidden="false" customHeight="false" outlineLevel="0" collapsed="false">
      <c r="A30" s="12" t="s">
        <v>93</v>
      </c>
      <c r="C30" s="26" t="n">
        <v>-0.04</v>
      </c>
      <c r="D30" s="26" t="n">
        <v>-0.01</v>
      </c>
      <c r="E30" s="26" t="n">
        <v>0.015</v>
      </c>
      <c r="F30" s="27" t="n">
        <f aca="false">INDEX($C30:$E30,1,$B$26)</f>
        <v>-0.01</v>
      </c>
    </row>
    <row r="31" customFormat="false" ht="15" hidden="false" customHeight="false" outlineLevel="0" collapsed="false">
      <c r="A31" s="12" t="s">
        <v>94</v>
      </c>
      <c r="C31" s="26" t="n">
        <v>-0.02</v>
      </c>
      <c r="D31" s="26" t="n">
        <v>0.01</v>
      </c>
      <c r="E31" s="26" t="n">
        <v>0.03</v>
      </c>
      <c r="F31" s="27" t="n">
        <f aca="false">INDEX($C31:$E31,1,$B$26)</f>
        <v>0.01</v>
      </c>
    </row>
    <row r="32" customFormat="false" ht="15" hidden="false" customHeight="false" outlineLevel="0" collapsed="false">
      <c r="A32" s="12" t="s">
        <v>95</v>
      </c>
      <c r="C32" s="26" t="n">
        <v>0</v>
      </c>
      <c r="D32" s="26" t="n">
        <v>0.02</v>
      </c>
      <c r="E32" s="26" t="n">
        <v>0.035</v>
      </c>
      <c r="F32" s="27" t="n">
        <f aca="false">INDEX($C32:$E32,1,$B$26)</f>
        <v>0.02</v>
      </c>
    </row>
    <row r="33" customFormat="false" ht="15" hidden="false" customHeight="false" outlineLevel="0" collapsed="false">
      <c r="A33" s="12" t="s">
        <v>96</v>
      </c>
      <c r="C33" s="26" t="n">
        <v>0.01</v>
      </c>
      <c r="D33" s="26" t="n">
        <v>0.025</v>
      </c>
      <c r="E33" s="26" t="n">
        <v>0.04</v>
      </c>
      <c r="F33" s="27" t="n">
        <f aca="false">INDEX($C33:$E33,1,$B$26)</f>
        <v>0.025</v>
      </c>
    </row>
    <row r="34" customFormat="false" ht="15" hidden="false" customHeight="false" outlineLevel="0" collapsed="false">
      <c r="A34" s="12" t="s">
        <v>97</v>
      </c>
      <c r="C34" s="26" t="n">
        <v>-0.03</v>
      </c>
      <c r="D34" s="26" t="n">
        <v>-0.01</v>
      </c>
      <c r="E34" s="26" t="n">
        <v>0.005</v>
      </c>
      <c r="F34" s="27" t="n">
        <f aca="false">INDEX($C34:$E34,1,$B$26)</f>
        <v>-0.01</v>
      </c>
    </row>
    <row r="35" customFormat="false" ht="15" hidden="false" customHeight="false" outlineLevel="0" collapsed="false">
      <c r="A35" s="12" t="s">
        <v>98</v>
      </c>
      <c r="C35" s="26" t="n">
        <v>0.015</v>
      </c>
      <c r="D35" s="26" t="n">
        <v>0.03</v>
      </c>
      <c r="E35" s="26" t="n">
        <v>0.045</v>
      </c>
      <c r="F35" s="27" t="n">
        <f aca="false">INDEX($C35:$E35,1,$B$26)</f>
        <v>0.03</v>
      </c>
    </row>
    <row r="36" customFormat="false" ht="15" hidden="false" customHeight="false" outlineLevel="0" collapsed="false">
      <c r="A36" s="12" t="s">
        <v>99</v>
      </c>
      <c r="C36" s="26" t="n">
        <v>0.09</v>
      </c>
      <c r="D36" s="26" t="n">
        <v>0.115</v>
      </c>
      <c r="E36" s="26" t="n">
        <v>0.13</v>
      </c>
      <c r="F36" s="27" t="n">
        <f aca="false">INDEX($C36:$E36,1,$B$26)</f>
        <v>0.115</v>
      </c>
      <c r="H36" s="14" t="s">
        <v>100</v>
      </c>
    </row>
    <row r="38" customFormat="false" ht="15" hidden="false" customHeight="false" outlineLevel="0" collapsed="false">
      <c r="A38" s="11" t="s">
        <v>101</v>
      </c>
      <c r="B38" s="11"/>
      <c r="C38" s="11"/>
      <c r="D38" s="11"/>
      <c r="E38" s="11"/>
      <c r="F38" s="11"/>
      <c r="G38" s="11"/>
      <c r="H38" s="11"/>
    </row>
    <row r="39" customFormat="false" ht="15" hidden="false" customHeight="false" outlineLevel="0" collapsed="false">
      <c r="A39" s="12" t="s">
        <v>102</v>
      </c>
      <c r="B39" s="17" t="n">
        <v>180</v>
      </c>
      <c r="H39" s="14" t="s">
        <v>103</v>
      </c>
    </row>
    <row r="40" customFormat="false" ht="15" hidden="false" customHeight="false" outlineLevel="0" collapsed="false">
      <c r="A40" s="12" t="s">
        <v>104</v>
      </c>
      <c r="B40" s="17" t="n">
        <v>190</v>
      </c>
      <c r="H40" s="14" t="s">
        <v>105</v>
      </c>
    </row>
    <row r="41" customFormat="false" ht="15" hidden="false" customHeight="false" outlineLevel="0" collapsed="false">
      <c r="A41" s="12" t="s">
        <v>106</v>
      </c>
      <c r="B41" s="16" t="n">
        <f aca="false">AVERAGE(B39:B40)</f>
        <v>185</v>
      </c>
    </row>
    <row r="42" customFormat="false" ht="15" hidden="false" customHeight="false" outlineLevel="0" collapsed="false">
      <c r="A42" s="12" t="s">
        <v>107</v>
      </c>
      <c r="B42" s="17" t="n">
        <v>72.5</v>
      </c>
      <c r="H42" s="14" t="s">
        <v>108</v>
      </c>
    </row>
    <row r="43" customFormat="false" ht="15" hidden="false" customHeight="false" outlineLevel="0" collapsed="false">
      <c r="A43" s="12" t="s">
        <v>109</v>
      </c>
      <c r="B43" s="17" t="n">
        <v>37.5</v>
      </c>
      <c r="H43" s="14" t="s">
        <v>110</v>
      </c>
    </row>
    <row r="44" customFormat="false" ht="15" hidden="false" customHeight="false" outlineLevel="0" collapsed="false">
      <c r="A44" s="12" t="s">
        <v>111</v>
      </c>
      <c r="B44" s="17" t="n">
        <v>75</v>
      </c>
      <c r="H44" s="14" t="s">
        <v>112</v>
      </c>
    </row>
    <row r="45" customFormat="false" ht="15" hidden="false" customHeight="false" outlineLevel="0" collapsed="false">
      <c r="A45" s="12" t="s">
        <v>113</v>
      </c>
      <c r="B45" s="26" t="n">
        <v>0.32</v>
      </c>
      <c r="H45" s="14" t="s">
        <v>114</v>
      </c>
    </row>
    <row r="46" customFormat="false" ht="15" hidden="false" customHeight="false" outlineLevel="0" collapsed="false">
      <c r="A46" s="12" t="s">
        <v>115</v>
      </c>
      <c r="B46" s="26" t="n">
        <v>-0.07</v>
      </c>
      <c r="H46" s="14" t="s">
        <v>116</v>
      </c>
    </row>
    <row r="47" customFormat="false" ht="15" hidden="false" customHeight="false" outlineLevel="0" collapsed="false">
      <c r="A47" s="12" t="s">
        <v>117</v>
      </c>
      <c r="B47" s="26" t="n">
        <v>0.02</v>
      </c>
      <c r="H47" s="14" t="s">
        <v>118</v>
      </c>
    </row>
    <row r="48" customFormat="false" ht="15" hidden="false" customHeight="false" outlineLevel="0" collapsed="false">
      <c r="A48" s="12" t="s">
        <v>119</v>
      </c>
      <c r="B48" s="26" t="n">
        <v>-0.035</v>
      </c>
      <c r="H48" s="14" t="s">
        <v>120</v>
      </c>
    </row>
    <row r="49" customFormat="false" ht="15" hidden="false" customHeight="false" outlineLevel="0" collapsed="false">
      <c r="A49" s="12" t="s">
        <v>121</v>
      </c>
      <c r="B49" s="26" t="n">
        <v>0.027</v>
      </c>
      <c r="H49" s="14" t="s">
        <v>122</v>
      </c>
    </row>
    <row r="50" customFormat="false" ht="15" hidden="false" customHeight="false" outlineLevel="0" collapsed="false">
      <c r="A50" s="12" t="s">
        <v>123</v>
      </c>
      <c r="B50" s="26" t="n">
        <v>0.3</v>
      </c>
      <c r="H50" s="14" t="s">
        <v>124</v>
      </c>
    </row>
    <row r="52" customFormat="false" ht="15" hidden="false" customHeight="false" outlineLevel="0" collapsed="false">
      <c r="A52" s="11" t="s">
        <v>125</v>
      </c>
      <c r="B52" s="11"/>
      <c r="C52" s="11"/>
      <c r="D52" s="11"/>
      <c r="E52" s="11"/>
      <c r="F52" s="11"/>
      <c r="G52" s="11"/>
      <c r="H52" s="11"/>
    </row>
    <row r="53" customFormat="false" ht="15" hidden="false" customHeight="false" outlineLevel="0" collapsed="false">
      <c r="A53" s="12" t="s">
        <v>126</v>
      </c>
      <c r="B53" s="28" t="n">
        <v>0.1187</v>
      </c>
      <c r="H53" s="14" t="s">
        <v>127</v>
      </c>
    </row>
    <row r="54" customFormat="false" ht="15" hidden="false" customHeight="false" outlineLevel="0" collapsed="false">
      <c r="A54" s="12" t="s">
        <v>128</v>
      </c>
      <c r="B54" s="28" t="n">
        <v>0.0389</v>
      </c>
      <c r="H54" s="14" t="s">
        <v>129</v>
      </c>
    </row>
    <row r="55" customFormat="false" ht="15" hidden="false" customHeight="false" outlineLevel="0" collapsed="false">
      <c r="A55" s="12" t="s">
        <v>130</v>
      </c>
      <c r="B55" s="28" t="n">
        <v>0.2713</v>
      </c>
      <c r="H55" s="14" t="s">
        <v>131</v>
      </c>
    </row>
    <row r="56" customFormat="false" ht="15" hidden="false" customHeight="false" outlineLevel="0" collapsed="false">
      <c r="A56" s="12" t="s">
        <v>132</v>
      </c>
      <c r="B56" s="28" t="n">
        <v>0.0179</v>
      </c>
      <c r="H56" s="14" t="s">
        <v>133</v>
      </c>
    </row>
    <row r="57" customFormat="false" ht="15" hidden="false" customHeight="false" outlineLevel="0" collapsed="false">
      <c r="A57" s="12" t="s">
        <v>134</v>
      </c>
      <c r="B57" s="28" t="n">
        <v>0.0486</v>
      </c>
      <c r="H57" s="14" t="s">
        <v>135</v>
      </c>
    </row>
    <row r="58" customFormat="false" ht="15" hidden="false" customHeight="false" outlineLevel="0" collapsed="false">
      <c r="A58" s="12" t="s">
        <v>136</v>
      </c>
      <c r="B58" s="28" t="n">
        <v>0.0385</v>
      </c>
      <c r="H58" s="14" t="s">
        <v>137</v>
      </c>
    </row>
    <row r="59" customFormat="false" ht="15" hidden="false" customHeight="false" outlineLevel="0" collapsed="false">
      <c r="A59" s="12" t="s">
        <v>138</v>
      </c>
      <c r="B59" s="28" t="n">
        <v>0.0395</v>
      </c>
      <c r="H59" s="14" t="s">
        <v>139</v>
      </c>
    </row>
    <row r="60" customFormat="false" ht="15" hidden="false" customHeight="false" outlineLevel="0" collapsed="false">
      <c r="A60" s="12" t="s">
        <v>140</v>
      </c>
      <c r="B60" s="26" t="n">
        <v>0.1</v>
      </c>
      <c r="H60" s="14" t="s">
        <v>141</v>
      </c>
    </row>
    <row r="62" customFormat="false" ht="15" hidden="false" customHeight="false" outlineLevel="0" collapsed="false">
      <c r="A62" s="11" t="s">
        <v>142</v>
      </c>
      <c r="B62" s="11"/>
      <c r="C62" s="11"/>
      <c r="D62" s="11"/>
      <c r="E62" s="11"/>
      <c r="F62" s="11"/>
      <c r="G62" s="11"/>
      <c r="H62" s="11"/>
    </row>
    <row r="63" customFormat="false" ht="15" hidden="false" customHeight="false" outlineLevel="0" collapsed="false">
      <c r="A63" s="12" t="s">
        <v>143</v>
      </c>
      <c r="B63" s="28" t="n">
        <v>0.042</v>
      </c>
      <c r="H63" s="14" t="s">
        <v>144</v>
      </c>
    </row>
    <row r="64" customFormat="false" ht="15" hidden="false" customHeight="false" outlineLevel="0" collapsed="false">
      <c r="A64" s="12" t="s">
        <v>145</v>
      </c>
      <c r="B64" s="28" t="n">
        <v>0.05</v>
      </c>
      <c r="H64" s="14" t="s">
        <v>146</v>
      </c>
    </row>
    <row r="65" customFormat="false" ht="15" hidden="false" customHeight="false" outlineLevel="0" collapsed="false">
      <c r="A65" s="12" t="s">
        <v>147</v>
      </c>
      <c r="B65" s="29" t="n">
        <v>1.15</v>
      </c>
      <c r="H65" s="14" t="s">
        <v>148</v>
      </c>
    </row>
    <row r="66" customFormat="false" ht="15" hidden="false" customHeight="false" outlineLevel="0" collapsed="false">
      <c r="A66" s="12" t="s">
        <v>149</v>
      </c>
      <c r="B66" s="28" t="n">
        <v>0.01</v>
      </c>
      <c r="H66" s="14" t="s">
        <v>150</v>
      </c>
    </row>
    <row r="67" customFormat="false" ht="15" hidden="false" customHeight="false" outlineLevel="0" collapsed="false">
      <c r="A67" s="12" t="s">
        <v>151</v>
      </c>
      <c r="B67" s="30" t="n">
        <f aca="false">B63+B65*B64+B66</f>
        <v>0.1095</v>
      </c>
      <c r="H67" s="14" t="s">
        <v>152</v>
      </c>
    </row>
    <row r="68" customFormat="false" ht="15" hidden="false" customHeight="false" outlineLevel="0" collapsed="false">
      <c r="A68" s="12" t="s">
        <v>153</v>
      </c>
      <c r="B68" s="28" t="n">
        <v>0.065</v>
      </c>
      <c r="H68" s="14" t="s">
        <v>154</v>
      </c>
    </row>
    <row r="69" customFormat="false" ht="15" hidden="false" customHeight="false" outlineLevel="0" collapsed="false">
      <c r="A69" s="12" t="s">
        <v>155</v>
      </c>
      <c r="B69" s="28" t="n">
        <v>0.25</v>
      </c>
      <c r="H69" s="14" t="s">
        <v>156</v>
      </c>
    </row>
    <row r="70" customFormat="false" ht="15" hidden="false" customHeight="false" outlineLevel="0" collapsed="false">
      <c r="A70" s="12" t="s">
        <v>157</v>
      </c>
      <c r="B70" s="30" t="n">
        <f aca="false">B68*(1-B69)</f>
        <v>0.04875</v>
      </c>
    </row>
    <row r="71" customFormat="false" ht="15" hidden="false" customHeight="false" outlineLevel="0" collapsed="false">
      <c r="A71" s="12" t="s">
        <v>158</v>
      </c>
      <c r="B71" s="28" t="n">
        <v>0.35</v>
      </c>
      <c r="H71" s="14" t="s">
        <v>159</v>
      </c>
    </row>
    <row r="72" customFormat="false" ht="15" hidden="false" customHeight="false" outlineLevel="0" collapsed="false">
      <c r="A72" s="12" t="s">
        <v>160</v>
      </c>
      <c r="B72" s="31" t="n">
        <f aca="false">B67*(1-B71)+B70*B71</f>
        <v>0.0882375</v>
      </c>
    </row>
    <row r="73" customFormat="false" ht="15" hidden="false" customHeight="false" outlineLevel="0" collapsed="false">
      <c r="A73" s="12" t="s">
        <v>161</v>
      </c>
      <c r="B73" s="32" t="n">
        <v>7</v>
      </c>
      <c r="H73" s="14" t="s">
        <v>162</v>
      </c>
    </row>
    <row r="74" customFormat="false" ht="15" hidden="false" customHeight="false" outlineLevel="0" collapsed="false">
      <c r="A74" s="12" t="s">
        <v>163</v>
      </c>
      <c r="B74" s="28" t="n">
        <v>0.015</v>
      </c>
      <c r="H74" s="14" t="s">
        <v>164</v>
      </c>
    </row>
    <row r="75" customFormat="false" ht="15" hidden="false" customHeight="false" outlineLevel="0" collapsed="false">
      <c r="A75" s="12" t="s">
        <v>165</v>
      </c>
      <c r="B75" s="33" t="n">
        <v>0.39</v>
      </c>
      <c r="H75" s="14" t="s">
        <v>166</v>
      </c>
    </row>
    <row r="77" customFormat="false" ht="15" hidden="false" customHeight="false" outlineLevel="0" collapsed="false">
      <c r="A77" s="11" t="s">
        <v>167</v>
      </c>
      <c r="B77" s="11"/>
      <c r="C77" s="11"/>
      <c r="D77" s="11"/>
      <c r="E77" s="11"/>
      <c r="F77" s="11"/>
      <c r="G77" s="11"/>
      <c r="H77" s="11"/>
    </row>
    <row r="78" customFormat="false" ht="15" hidden="false" customHeight="false" outlineLevel="0" collapsed="false">
      <c r="A78" s="12" t="s">
        <v>168</v>
      </c>
      <c r="B78" s="26" t="n">
        <v>0.3</v>
      </c>
      <c r="H78" s="14" t="s">
        <v>169</v>
      </c>
    </row>
    <row r="79" customFormat="false" ht="15" hidden="false" customHeight="false" outlineLevel="0" collapsed="false">
      <c r="A79" s="12" t="s">
        <v>74</v>
      </c>
      <c r="B79" s="34" t="n">
        <f aca="false">B5*(1+B78)</f>
        <v>35.711</v>
      </c>
    </row>
    <row r="80" customFormat="false" ht="15" hidden="false" customHeight="false" outlineLevel="0" collapsed="false">
      <c r="A80" s="12" t="s">
        <v>170</v>
      </c>
      <c r="B80" s="16" t="n">
        <f aca="false">B79*B6</f>
        <v>1182.0341</v>
      </c>
    </row>
    <row r="81" customFormat="false" ht="15" hidden="false" customHeight="false" outlineLevel="0" collapsed="false">
      <c r="A81" s="12" t="s">
        <v>171</v>
      </c>
      <c r="B81" s="16" t="n">
        <f aca="false">B41</f>
        <v>185</v>
      </c>
    </row>
    <row r="82" customFormat="false" ht="15" hidden="false" customHeight="false" outlineLevel="0" collapsed="false">
      <c r="A82" s="12" t="s">
        <v>172</v>
      </c>
      <c r="B82" s="35" t="n">
        <f aca="false">(B80+B12)/B81</f>
        <v>10.3720762162162</v>
      </c>
    </row>
    <row r="83" customFormat="false" ht="15" hidden="false" customHeight="false" outlineLevel="0" collapsed="false">
      <c r="A83" s="12" t="s">
        <v>173</v>
      </c>
      <c r="B83" s="29" t="n">
        <v>4</v>
      </c>
      <c r="H83" s="14" t="s">
        <v>174</v>
      </c>
    </row>
    <row r="84" customFormat="false" ht="15" hidden="false" customHeight="false" outlineLevel="0" collapsed="false">
      <c r="A84" s="12" t="s">
        <v>175</v>
      </c>
      <c r="B84" s="29" t="n">
        <v>1.5</v>
      </c>
      <c r="H84" s="14" t="s">
        <v>174</v>
      </c>
    </row>
    <row r="85" customFormat="false" ht="15" hidden="false" customHeight="false" outlineLevel="0" collapsed="false">
      <c r="A85" s="12" t="s">
        <v>176</v>
      </c>
      <c r="B85" s="28" t="n">
        <v>0.08</v>
      </c>
      <c r="H85" s="14" t="s">
        <v>177</v>
      </c>
    </row>
    <row r="86" customFormat="false" ht="15" hidden="false" customHeight="false" outlineLevel="0" collapsed="false">
      <c r="A86" s="12" t="s">
        <v>178</v>
      </c>
      <c r="B86" s="28" t="n">
        <v>0.095</v>
      </c>
      <c r="H86" s="14" t="s">
        <v>179</v>
      </c>
    </row>
    <row r="87" customFormat="false" ht="15" hidden="false" customHeight="false" outlineLevel="0" collapsed="false">
      <c r="A87" s="12" t="s">
        <v>180</v>
      </c>
      <c r="B87" s="28" t="n">
        <v>0.085</v>
      </c>
    </row>
    <row r="88" customFormat="false" ht="15" hidden="false" customHeight="false" outlineLevel="0" collapsed="false">
      <c r="A88" s="12" t="s">
        <v>181</v>
      </c>
      <c r="B88" s="28" t="n">
        <v>0.03</v>
      </c>
    </row>
    <row r="89" customFormat="false" ht="15" hidden="false" customHeight="false" outlineLevel="0" collapsed="false">
      <c r="A89" s="12" t="s">
        <v>182</v>
      </c>
      <c r="B89" s="28" t="n">
        <v>0.01</v>
      </c>
      <c r="H89" s="14" t="s">
        <v>183</v>
      </c>
    </row>
    <row r="90" customFormat="false" ht="15" hidden="false" customHeight="false" outlineLevel="0" collapsed="false">
      <c r="A90" s="12" t="s">
        <v>184</v>
      </c>
      <c r="B90" s="26" t="n">
        <v>0.75</v>
      </c>
      <c r="H90" s="14" t="s">
        <v>174</v>
      </c>
    </row>
    <row r="91" customFormat="false" ht="15" hidden="false" customHeight="false" outlineLevel="0" collapsed="false">
      <c r="A91" s="12" t="s">
        <v>185</v>
      </c>
      <c r="B91" s="17" t="n">
        <v>30</v>
      </c>
    </row>
    <row r="92" customFormat="false" ht="15" hidden="false" customHeight="false" outlineLevel="0" collapsed="false">
      <c r="A92" s="12" t="s">
        <v>186</v>
      </c>
      <c r="B92" s="28" t="n">
        <v>0.025</v>
      </c>
    </row>
    <row r="93" customFormat="false" ht="15" hidden="false" customHeight="false" outlineLevel="0" collapsed="false">
      <c r="A93" s="12" t="s">
        <v>187</v>
      </c>
      <c r="B93" s="17" t="n">
        <v>30</v>
      </c>
    </row>
    <row r="94" customFormat="false" ht="15" hidden="false" customHeight="false" outlineLevel="0" collapsed="false">
      <c r="A94" s="12" t="s">
        <v>188</v>
      </c>
      <c r="B94" s="28" t="n">
        <v>0.25</v>
      </c>
    </row>
    <row r="95" customFormat="false" ht="15" hidden="false" customHeight="false" outlineLevel="0" collapsed="false">
      <c r="A95" s="12" t="s">
        <v>189</v>
      </c>
      <c r="B95" s="29" t="n">
        <v>7.5</v>
      </c>
      <c r="H95" s="14" t="s">
        <v>190</v>
      </c>
    </row>
    <row r="96" customFormat="false" ht="15" hidden="false" customHeight="false" outlineLevel="0" collapsed="false">
      <c r="A96" s="12" t="s">
        <v>191</v>
      </c>
      <c r="B96" s="36" t="n">
        <v>5</v>
      </c>
    </row>
    <row r="97" customFormat="false" ht="15" hidden="false" customHeight="false" outlineLevel="0" collapsed="false">
      <c r="A97" s="12" t="s">
        <v>192</v>
      </c>
      <c r="B97" s="26" t="n">
        <v>0.2</v>
      </c>
      <c r="H97" s="14" t="s">
        <v>193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8" min="2" style="1" width="13"/>
    <col collapsed="false" customWidth="true" hidden="false" outlineLevel="0" max="10" min="10" style="1" width="90"/>
  </cols>
  <sheetData>
    <row r="1" customFormat="false" ht="17.35" hidden="false" customHeight="false" outlineLevel="0" collapsed="false">
      <c r="A1" s="9" t="s">
        <v>194</v>
      </c>
      <c r="B1" s="3"/>
      <c r="C1" s="3"/>
      <c r="D1" s="3"/>
      <c r="E1" s="3"/>
      <c r="F1" s="3"/>
      <c r="G1" s="3"/>
      <c r="H1" s="3"/>
    </row>
    <row r="2" customFormat="false" ht="15" hidden="false" customHeight="false" outlineLevel="0" collapsed="false">
      <c r="A2" s="10" t="s">
        <v>195</v>
      </c>
    </row>
    <row r="4" customFormat="false" ht="15" hidden="false" customHeight="false" outlineLevel="0" collapsed="false">
      <c r="A4" s="23" t="s">
        <v>196</v>
      </c>
      <c r="B4" s="24" t="s">
        <v>197</v>
      </c>
      <c r="C4" s="24" t="s">
        <v>198</v>
      </c>
      <c r="D4" s="24" t="s">
        <v>199</v>
      </c>
      <c r="E4" s="24" t="s">
        <v>200</v>
      </c>
      <c r="F4" s="24" t="s">
        <v>201</v>
      </c>
      <c r="G4" s="24" t="s">
        <v>202</v>
      </c>
      <c r="H4" s="24" t="s">
        <v>203</v>
      </c>
    </row>
    <row r="5" customFormat="false" ht="15" hidden="false" customHeight="false" outlineLevel="0" collapsed="false">
      <c r="A5" s="37" t="s">
        <v>204</v>
      </c>
      <c r="C5" s="38" t="n">
        <v>0</v>
      </c>
      <c r="D5" s="38" t="n">
        <v>1</v>
      </c>
      <c r="E5" s="38" t="n">
        <v>2</v>
      </c>
      <c r="F5" s="38" t="n">
        <v>3</v>
      </c>
      <c r="G5" s="38" t="n">
        <v>4</v>
      </c>
      <c r="H5" s="38" t="n">
        <v>5</v>
      </c>
    </row>
    <row r="7" customFormat="false" ht="15" hidden="false" customHeight="false" outlineLevel="0" collapsed="false">
      <c r="A7" s="11" t="s">
        <v>205</v>
      </c>
      <c r="B7" s="11"/>
      <c r="C7" s="11"/>
      <c r="D7" s="11"/>
      <c r="E7" s="11"/>
      <c r="F7" s="11"/>
      <c r="G7" s="11"/>
      <c r="H7" s="11"/>
    </row>
    <row r="8" customFormat="false" ht="15" hidden="false" customHeight="false" outlineLevel="0" collapsed="false">
      <c r="A8" s="12" t="s">
        <v>206</v>
      </c>
      <c r="C8" s="39" t="n">
        <f aca="false">Assumptions!$B$46</f>
        <v>-0.07</v>
      </c>
      <c r="D8" s="39" t="n">
        <f aca="false">Assumptions!$F$30</f>
        <v>-0.01</v>
      </c>
      <c r="E8" s="39" t="n">
        <f aca="false">Assumptions!$F$31</f>
        <v>0.01</v>
      </c>
      <c r="F8" s="39" t="n">
        <f aca="false">Assumptions!$F$32</f>
        <v>0.02</v>
      </c>
      <c r="G8" s="39" t="n">
        <f aca="false">Assumptions!$F$32</f>
        <v>0.02</v>
      </c>
      <c r="H8" s="39" t="n">
        <f aca="false">Assumptions!$F$32</f>
        <v>0.02</v>
      </c>
      <c r="J8" s="14" t="s">
        <v>207</v>
      </c>
    </row>
    <row r="9" customFormat="false" ht="15" hidden="false" customHeight="false" outlineLevel="0" collapsed="false">
      <c r="A9" s="12" t="s">
        <v>208</v>
      </c>
      <c r="C9" s="39" t="n">
        <f aca="false">Assumptions!$B$47</f>
        <v>0.02</v>
      </c>
      <c r="D9" s="39" t="n">
        <f aca="false">Assumptions!$F$33</f>
        <v>0.025</v>
      </c>
      <c r="E9" s="39" t="n">
        <f aca="false">Assumptions!$F$33</f>
        <v>0.025</v>
      </c>
      <c r="F9" s="39" t="n">
        <f aca="false">Assumptions!$F$33</f>
        <v>0.025</v>
      </c>
      <c r="G9" s="39" t="n">
        <f aca="false">Assumptions!$F$33</f>
        <v>0.025</v>
      </c>
      <c r="H9" s="39" t="n">
        <f aca="false">Assumptions!$F$33</f>
        <v>0.025</v>
      </c>
    </row>
    <row r="10" customFormat="false" ht="15" hidden="false" customHeight="false" outlineLevel="0" collapsed="false">
      <c r="A10" s="12" t="s">
        <v>209</v>
      </c>
      <c r="C10" s="39" t="n">
        <f aca="false">Assumptions!$B$48</f>
        <v>-0.035</v>
      </c>
      <c r="D10" s="39" t="n">
        <f aca="false">Assumptions!$F$34</f>
        <v>-0.01</v>
      </c>
      <c r="E10" s="39" t="n">
        <f aca="false">Assumptions!$F$34</f>
        <v>-0.01</v>
      </c>
      <c r="F10" s="39" t="n">
        <f aca="false">Assumptions!$F$34</f>
        <v>-0.01</v>
      </c>
      <c r="G10" s="39" t="n">
        <f aca="false">Assumptions!$F$34</f>
        <v>-0.01</v>
      </c>
      <c r="H10" s="39" t="n">
        <f aca="false">Assumptions!$F$34</f>
        <v>-0.01</v>
      </c>
    </row>
    <row r="11" customFormat="false" ht="15" hidden="false" customHeight="false" outlineLevel="0" collapsed="false">
      <c r="A11" s="12" t="s">
        <v>210</v>
      </c>
      <c r="C11" s="39" t="n">
        <f aca="false">Assumptions!$B$49</f>
        <v>0.027</v>
      </c>
      <c r="D11" s="39" t="n">
        <f aca="false">Assumptions!$F$35</f>
        <v>0.03</v>
      </c>
      <c r="E11" s="39" t="n">
        <f aca="false">Assumptions!$F$35</f>
        <v>0.03</v>
      </c>
      <c r="F11" s="39" t="n">
        <f aca="false">Assumptions!$F$35</f>
        <v>0.03</v>
      </c>
      <c r="G11" s="39" t="n">
        <f aca="false">Assumptions!$F$35</f>
        <v>0.03</v>
      </c>
      <c r="H11" s="39" t="n">
        <f aca="false">Assumptions!$F$35</f>
        <v>0.03</v>
      </c>
    </row>
    <row r="12" customFormat="false" ht="15" hidden="false" customHeight="false" outlineLevel="0" collapsed="false">
      <c r="A12" s="12" t="s">
        <v>211</v>
      </c>
      <c r="C12" s="39" t="n">
        <f aca="false">Assumptions!$B$50</f>
        <v>0.3</v>
      </c>
      <c r="D12" s="39" t="n">
        <f aca="false">Assumptions!$B$50</f>
        <v>0.3</v>
      </c>
      <c r="E12" s="39" t="n">
        <f aca="false">Assumptions!$B$50</f>
        <v>0.3</v>
      </c>
      <c r="F12" s="39" t="n">
        <f aca="false">Assumptions!$B$50</f>
        <v>0.3</v>
      </c>
      <c r="G12" s="39" t="n">
        <f aca="false">Assumptions!$B$50</f>
        <v>0.3</v>
      </c>
      <c r="H12" s="39" t="n">
        <f aca="false">Assumptions!$B$50</f>
        <v>0.3</v>
      </c>
    </row>
    <row r="14" customFormat="false" ht="15" hidden="false" customHeight="false" outlineLevel="0" collapsed="false">
      <c r="A14" s="11" t="s">
        <v>212</v>
      </c>
      <c r="B14" s="11"/>
      <c r="C14" s="11"/>
      <c r="D14" s="11"/>
      <c r="E14" s="11"/>
      <c r="F14" s="11"/>
      <c r="G14" s="11"/>
      <c r="H14" s="11"/>
    </row>
    <row r="15" customFormat="false" ht="15" hidden="false" customHeight="false" outlineLevel="0" collapsed="false">
      <c r="A15" s="12" t="s">
        <v>213</v>
      </c>
      <c r="B15" s="17" t="n">
        <v>3626</v>
      </c>
      <c r="C15" s="40" t="n">
        <f aca="false">B15*(1+C8)*(1+C10*C12)</f>
        <v>3336.77211</v>
      </c>
      <c r="D15" s="40" t="n">
        <f aca="false">C15*(1+D8)*(1+D10*D12)</f>
        <v>3293.4941757333</v>
      </c>
      <c r="E15" s="40" t="n">
        <f aca="false">D15*(1+E8)*(1+E10*E12)</f>
        <v>3316.44983013816</v>
      </c>
      <c r="F15" s="40" t="n">
        <f aca="false">E15*(1+F8)*(1+F10*F12)</f>
        <v>3372.6304902607</v>
      </c>
      <c r="G15" s="40" t="n">
        <f aca="false">F15*(1+G8)*(1+G10*G12)</f>
        <v>3429.76285076572</v>
      </c>
      <c r="H15" s="40" t="n">
        <f aca="false">G15*(1+H8)*(1+H10*H12)</f>
        <v>3487.86303345769</v>
      </c>
      <c r="J15" s="14" t="s">
        <v>214</v>
      </c>
    </row>
    <row r="16" customFormat="false" ht="15" hidden="false" customHeight="false" outlineLevel="0" collapsed="false">
      <c r="A16" s="12" t="s">
        <v>215</v>
      </c>
      <c r="B16" s="17" t="n">
        <v>1294</v>
      </c>
      <c r="C16" s="40" t="n">
        <f aca="false">B16*(1+C9)*(1+C11*C12)</f>
        <v>1330.571028</v>
      </c>
      <c r="D16" s="40" t="n">
        <f aca="false">C16*(1+D9)*(1+D11*D12)</f>
        <v>1376.1098214333</v>
      </c>
      <c r="E16" s="40" t="n">
        <f aca="false">D16*(1+E9)*(1+E11*E12)</f>
        <v>1423.20718007185</v>
      </c>
      <c r="F16" s="40" t="n">
        <f aca="false">E16*(1+F9)*(1+F11*F12)</f>
        <v>1471.91644580981</v>
      </c>
      <c r="G16" s="40" t="n">
        <f aca="false">F16*(1+G9)*(1+G11*G12)</f>
        <v>1522.29278616765</v>
      </c>
      <c r="H16" s="40" t="n">
        <f aca="false">G16*(1+H9)*(1+H11*H12)</f>
        <v>1574.39325677424</v>
      </c>
    </row>
    <row r="17" customFormat="false" ht="15" hidden="false" customHeight="false" outlineLevel="0" collapsed="false">
      <c r="A17" s="20" t="s">
        <v>216</v>
      </c>
      <c r="B17" s="41" t="n">
        <f aca="false">SUM(B15:B16)</f>
        <v>4920</v>
      </c>
      <c r="C17" s="41" t="n">
        <f aca="false">SUM(C15:C16)</f>
        <v>4667.343138</v>
      </c>
      <c r="D17" s="41" t="n">
        <f aca="false">SUM(D15:D16)</f>
        <v>4669.6039971666</v>
      </c>
      <c r="E17" s="41" t="n">
        <f aca="false">SUM(E15:E16)</f>
        <v>4739.65701021002</v>
      </c>
      <c r="F17" s="41" t="n">
        <f aca="false">SUM(F15:F16)</f>
        <v>4844.54693607052</v>
      </c>
      <c r="G17" s="41" t="n">
        <f aca="false">SUM(G15:G16)</f>
        <v>4952.05563693337</v>
      </c>
      <c r="H17" s="41" t="n">
        <f aca="false">SUM(H15:H16)</f>
        <v>5062.25629023193</v>
      </c>
    </row>
    <row r="18" customFormat="false" ht="15" hidden="false" customHeight="false" outlineLevel="0" collapsed="false">
      <c r="A18" s="42" t="s">
        <v>217</v>
      </c>
      <c r="C18" s="43" t="n">
        <f aca="false">C17/B17-1</f>
        <v>-0.0513530207317073</v>
      </c>
      <c r="D18" s="43" t="n">
        <f aca="false">D17/C17-1</f>
        <v>0.000484399603747132</v>
      </c>
      <c r="E18" s="43" t="n">
        <f aca="false">E17/D17-1</f>
        <v>0.0150019173116012</v>
      </c>
      <c r="F18" s="43" t="n">
        <f aca="false">F17/E17-1</f>
        <v>0.0221302777045995</v>
      </c>
      <c r="G18" s="43" t="n">
        <f aca="false">G17/F17-1</f>
        <v>0.0221916935229569</v>
      </c>
      <c r="H18" s="43" t="n">
        <f aca="false">H17/G17-1</f>
        <v>0.0222535167974813</v>
      </c>
      <c r="J18" s="14" t="s">
        <v>218</v>
      </c>
    </row>
    <row r="20" customFormat="false" ht="15" hidden="false" customHeight="false" outlineLevel="0" collapsed="false">
      <c r="A20" s="11" t="s">
        <v>219</v>
      </c>
      <c r="B20" s="11"/>
      <c r="C20" s="11"/>
      <c r="D20" s="11"/>
      <c r="E20" s="11"/>
      <c r="F20" s="11"/>
      <c r="G20" s="11"/>
      <c r="H20" s="11"/>
    </row>
    <row r="21" customFormat="false" ht="15" hidden="false" customHeight="false" outlineLevel="0" collapsed="false">
      <c r="A21" s="12" t="s">
        <v>220</v>
      </c>
      <c r="B21" s="44" t="n">
        <v>3553</v>
      </c>
      <c r="C21" s="45" t="n">
        <f aca="false">B21*(1+C10)</f>
        <v>3428.645</v>
      </c>
      <c r="D21" s="45" t="n">
        <f aca="false">C21*(1+D10)</f>
        <v>3394.35855</v>
      </c>
      <c r="E21" s="45" t="n">
        <f aca="false">D21*(1+E10)</f>
        <v>3360.4149645</v>
      </c>
      <c r="F21" s="45" t="n">
        <f aca="false">E21*(1+F10)</f>
        <v>3326.810814855</v>
      </c>
      <c r="G21" s="45" t="n">
        <f aca="false">F21*(1+G10)</f>
        <v>3293.54270670645</v>
      </c>
      <c r="H21" s="45" t="n">
        <f aca="false">G21*(1+H10)</f>
        <v>3260.60727963939</v>
      </c>
      <c r="J21" s="14" t="s">
        <v>221</v>
      </c>
    </row>
    <row r="22" customFormat="false" ht="15" hidden="false" customHeight="false" outlineLevel="0" collapsed="false">
      <c r="A22" s="12" t="s">
        <v>222</v>
      </c>
      <c r="B22" s="44" t="n">
        <v>2530</v>
      </c>
      <c r="C22" s="45" t="n">
        <f aca="false">B22*(1+C11)</f>
        <v>2598.31</v>
      </c>
      <c r="D22" s="45" t="n">
        <f aca="false">C22*(1+D11)</f>
        <v>2676.2593</v>
      </c>
      <c r="E22" s="45" t="n">
        <f aca="false">D22*(1+E11)</f>
        <v>2756.547079</v>
      </c>
      <c r="F22" s="45" t="n">
        <f aca="false">E22*(1+F11)</f>
        <v>2839.24349137</v>
      </c>
      <c r="G22" s="45" t="n">
        <f aca="false">F22*(1+G11)</f>
        <v>2924.4207961111</v>
      </c>
      <c r="H22" s="45" t="n">
        <f aca="false">G22*(1+H11)</f>
        <v>3012.15341999443</v>
      </c>
    </row>
    <row r="23" customFormat="false" ht="15" hidden="false" customHeight="false" outlineLevel="0" collapsed="false">
      <c r="A23" s="20" t="s">
        <v>223</v>
      </c>
      <c r="B23" s="46" t="n">
        <f aca="false">SUM(B21:B22)</f>
        <v>6083</v>
      </c>
      <c r="C23" s="46" t="n">
        <f aca="false">SUM(C21:C22)</f>
        <v>6026.955</v>
      </c>
      <c r="D23" s="46" t="n">
        <f aca="false">SUM(D21:D22)</f>
        <v>6070.61785</v>
      </c>
      <c r="E23" s="46" t="n">
        <f aca="false">SUM(E21:E22)</f>
        <v>6116.9620435</v>
      </c>
      <c r="F23" s="46" t="n">
        <f aca="false">SUM(F21:F22)</f>
        <v>6166.054306225</v>
      </c>
      <c r="G23" s="46" t="n">
        <f aca="false">SUM(G21:G22)</f>
        <v>6217.96350281755</v>
      </c>
      <c r="H23" s="46" t="n">
        <f aca="false">SUM(H21:H22)</f>
        <v>6272.76069963382</v>
      </c>
    </row>
    <row r="24" customFormat="false" ht="15" hidden="false" customHeight="false" outlineLevel="0" collapsed="false">
      <c r="A24" s="42" t="s">
        <v>224</v>
      </c>
      <c r="B24" s="47" t="n">
        <f aca="false">B15/B21*1000</f>
        <v>1020.54601745004</v>
      </c>
      <c r="C24" s="47" t="n">
        <f aca="false">C15/C21*1000</f>
        <v>973.204315407398</v>
      </c>
      <c r="D24" s="47" t="n">
        <f aca="false">D15/D21*1000</f>
        <v>970.284702461176</v>
      </c>
      <c r="E24" s="47" t="n">
        <f aca="false">E15/E21*1000</f>
        <v>986.916754381142</v>
      </c>
      <c r="F24" s="47" t="n">
        <f aca="false">F15/F21*1000</f>
        <v>1013.77285272764</v>
      </c>
      <c r="G24" s="47" t="n">
        <f aca="false">G15/G21*1000</f>
        <v>1041.35976247762</v>
      </c>
      <c r="H24" s="47" t="n">
        <f aca="false">H15/H21*1000</f>
        <v>1069.69737055958</v>
      </c>
    </row>
    <row r="25" customFormat="false" ht="15" hidden="false" customHeight="false" outlineLevel="0" collapsed="false">
      <c r="A25" s="42" t="s">
        <v>225</v>
      </c>
      <c r="B25" s="47" t="n">
        <f aca="false">B16/B22*1000</f>
        <v>511.462450592885</v>
      </c>
      <c r="C25" s="47" t="n">
        <f aca="false">C16/C22*1000</f>
        <v>512.090946807733</v>
      </c>
      <c r="D25" s="47" t="n">
        <f aca="false">D16/D22*1000</f>
        <v>514.191514040997</v>
      </c>
      <c r="E25" s="47" t="n">
        <f aca="false">E16/E22*1000</f>
        <v>516.30069767869</v>
      </c>
      <c r="F25" s="47" t="n">
        <f aca="false">F16/F22*1000</f>
        <v>518.418533064799</v>
      </c>
      <c r="G25" s="47" t="n">
        <f aca="false">G16/G22*1000</f>
        <v>520.545055688293</v>
      </c>
      <c r="H25" s="47" t="n">
        <f aca="false">H16/H22*1000</f>
        <v>522.680301183713</v>
      </c>
    </row>
    <row r="27" customFormat="false" ht="15" hidden="false" customHeight="false" outlineLevel="0" collapsed="false">
      <c r="A27" s="11" t="s">
        <v>226</v>
      </c>
      <c r="B27" s="11"/>
      <c r="C27" s="11"/>
      <c r="D27" s="11"/>
      <c r="E27" s="11"/>
      <c r="F27" s="11"/>
      <c r="G27" s="11"/>
      <c r="H27" s="11"/>
    </row>
    <row r="28" customFormat="false" ht="15" hidden="false" customHeight="false" outlineLevel="0" collapsed="false">
      <c r="A28" s="12" t="s">
        <v>227</v>
      </c>
      <c r="B28" s="40" t="n">
        <f aca="false">B17*Assumptions!$B$53</f>
        <v>584.004</v>
      </c>
      <c r="C28" s="40" t="n">
        <f aca="false">C17*Assumptions!$B$53</f>
        <v>554.0136304806</v>
      </c>
      <c r="D28" s="40" t="n">
        <f aca="false">D17*Assumptions!$B$53</f>
        <v>554.281994463675</v>
      </c>
      <c r="E28" s="40" t="n">
        <f aca="false">E17*Assumptions!$B$53</f>
        <v>562.597287111929</v>
      </c>
      <c r="F28" s="40" t="n">
        <f aca="false">F17*Assumptions!$B$53</f>
        <v>575.04772131157</v>
      </c>
      <c r="G28" s="40" t="n">
        <f aca="false">G17*Assumptions!$B$53</f>
        <v>587.809004103991</v>
      </c>
      <c r="H28" s="40" t="n">
        <f aca="false">H17*Assumptions!$B$53</f>
        <v>600.88982165053</v>
      </c>
    </row>
    <row r="29" customFormat="false" ht="15" hidden="false" customHeight="false" outlineLevel="0" collapsed="false">
      <c r="A29" s="12" t="s">
        <v>228</v>
      </c>
      <c r="B29" s="40" t="n">
        <f aca="false">B17*Assumptions!$B$54</f>
        <v>191.388</v>
      </c>
      <c r="C29" s="40" t="n">
        <f aca="false">C17*Assumptions!$B$54</f>
        <v>181.5596480682</v>
      </c>
      <c r="D29" s="40" t="n">
        <f aca="false">D17*Assumptions!$B$54</f>
        <v>181.647595489781</v>
      </c>
      <c r="E29" s="40" t="n">
        <f aca="false">E17*Assumptions!$B$54</f>
        <v>184.37265769717</v>
      </c>
      <c r="F29" s="40" t="n">
        <f aca="false">F17*Assumptions!$B$54</f>
        <v>188.452875813143</v>
      </c>
      <c r="G29" s="40" t="n">
        <f aca="false">G17*Assumptions!$B$54</f>
        <v>192.634964276708</v>
      </c>
      <c r="H29" s="40" t="n">
        <f aca="false">H17*Assumptions!$B$54</f>
        <v>196.921769690022</v>
      </c>
    </row>
    <row r="30" customFormat="false" ht="15" hidden="false" customHeight="false" outlineLevel="0" collapsed="false">
      <c r="A30" s="12" t="s">
        <v>229</v>
      </c>
      <c r="B30" s="40" t="n">
        <f aca="false">B15*Assumptions!$B$55</f>
        <v>983.7338</v>
      </c>
      <c r="C30" s="40" t="n">
        <f aca="false">C15*Assumptions!$B$55</f>
        <v>905.266273443</v>
      </c>
      <c r="D30" s="40" t="n">
        <f aca="false">D15*Assumptions!$B$55</f>
        <v>893.524969876444</v>
      </c>
      <c r="E30" s="40" t="n">
        <f aca="false">E15*Assumptions!$B$55</f>
        <v>899.752838916483</v>
      </c>
      <c r="F30" s="40" t="n">
        <f aca="false">F15*Assumptions!$B$55</f>
        <v>914.994652007728</v>
      </c>
      <c r="G30" s="40" t="n">
        <f aca="false">G15*Assumptions!$B$55</f>
        <v>930.494661412739</v>
      </c>
      <c r="H30" s="40" t="n">
        <f aca="false">H15*Assumptions!$B$55</f>
        <v>946.257240977071</v>
      </c>
    </row>
    <row r="31" customFormat="false" ht="15" hidden="false" customHeight="false" outlineLevel="0" collapsed="false">
      <c r="A31" s="12" t="s">
        <v>230</v>
      </c>
      <c r="B31" s="40" t="n">
        <f aca="false">B17*Assumptions!$B$56</f>
        <v>88.068</v>
      </c>
      <c r="C31" s="40" t="n">
        <f aca="false">C17*Assumptions!$B$56</f>
        <v>83.5454421702</v>
      </c>
      <c r="D31" s="40" t="n">
        <f aca="false">D17*Assumptions!$B$56</f>
        <v>83.5859115492821</v>
      </c>
      <c r="E31" s="40" t="n">
        <f aca="false">E17*Assumptions!$B$56</f>
        <v>84.8398604827593</v>
      </c>
      <c r="F31" s="40" t="n">
        <f aca="false">F17*Assumptions!$B$56</f>
        <v>86.7173901556622</v>
      </c>
      <c r="G31" s="40" t="n">
        <f aca="false">G17*Assumptions!$B$56</f>
        <v>88.6417959011073</v>
      </c>
      <c r="H31" s="40" t="n">
        <f aca="false">H17*Assumptions!$B$56</f>
        <v>90.6143875951516</v>
      </c>
    </row>
    <row r="32" customFormat="false" ht="15" hidden="false" customHeight="false" outlineLevel="0" collapsed="false">
      <c r="A32" s="12" t="s">
        <v>231</v>
      </c>
      <c r="B32" s="40" t="n">
        <f aca="false">B15*Assumptions!$B$57</f>
        <v>176.2236</v>
      </c>
      <c r="C32" s="40" t="n">
        <f aca="false">C15*Assumptions!$B$57</f>
        <v>162.167124546</v>
      </c>
      <c r="D32" s="40" t="n">
        <f aca="false">D15*Assumptions!$B$57</f>
        <v>160.063816940638</v>
      </c>
      <c r="E32" s="40" t="n">
        <f aca="false">E15*Assumptions!$B$57</f>
        <v>161.179461744715</v>
      </c>
      <c r="F32" s="40" t="n">
        <f aca="false">F15*Assumptions!$B$57</f>
        <v>163.90984182667</v>
      </c>
      <c r="G32" s="40" t="n">
        <f aca="false">G15*Assumptions!$B$57</f>
        <v>166.686474547214</v>
      </c>
      <c r="H32" s="40" t="n">
        <f aca="false">H15*Assumptions!$B$57</f>
        <v>169.510143426044</v>
      </c>
    </row>
    <row r="33" customFormat="false" ht="15" hidden="false" customHeight="false" outlineLevel="0" collapsed="false">
      <c r="A33" s="20" t="s">
        <v>232</v>
      </c>
      <c r="B33" s="41" t="n">
        <f aca="false">SUM(B28:B32)</f>
        <v>2023.4174</v>
      </c>
      <c r="C33" s="41" t="n">
        <f aca="false">SUM(C28:C32)</f>
        <v>1886.552118708</v>
      </c>
      <c r="D33" s="41" t="n">
        <f aca="false">SUM(D28:D32)</f>
        <v>1873.10428831982</v>
      </c>
      <c r="E33" s="41" t="n">
        <f aca="false">SUM(E28:E32)</f>
        <v>1892.74210595306</v>
      </c>
      <c r="F33" s="41" t="n">
        <f aca="false">SUM(F28:F32)</f>
        <v>1929.12248111477</v>
      </c>
      <c r="G33" s="41" t="n">
        <f aca="false">SUM(G28:G32)</f>
        <v>1966.26690024176</v>
      </c>
      <c r="H33" s="41" t="n">
        <f aca="false">SUM(H28:H32)</f>
        <v>2004.19336333882</v>
      </c>
    </row>
    <row r="34" customFormat="false" ht="15" hidden="false" customHeight="false" outlineLevel="0" collapsed="false">
      <c r="A34" s="42" t="s">
        <v>217</v>
      </c>
      <c r="C34" s="43" t="n">
        <f aca="false">C33/B33-1</f>
        <v>-0.06764065649134</v>
      </c>
      <c r="D34" s="43" t="n">
        <f aca="false">D33/C33-1</f>
        <v>-0.00712825808246886</v>
      </c>
      <c r="E34" s="43" t="n">
        <f aca="false">E33/D33-1</f>
        <v>0.0104841026501783</v>
      </c>
      <c r="F34" s="43" t="n">
        <f aca="false">F33/E33-1</f>
        <v>0.0192209889806407</v>
      </c>
      <c r="G34" s="43" t="n">
        <f aca="false">G33/F33-1</f>
        <v>0.0192545675511084</v>
      </c>
      <c r="H34" s="43" t="n">
        <f aca="false">H33/G33-1</f>
        <v>0.0192885630594684</v>
      </c>
    </row>
    <row r="35" customFormat="false" ht="15" hidden="false" customHeight="false" outlineLevel="0" collapsed="false">
      <c r="A35" s="48" t="s">
        <v>233</v>
      </c>
      <c r="B35" s="49" t="n">
        <v>2065</v>
      </c>
      <c r="J35" s="14" t="s">
        <v>234</v>
      </c>
    </row>
    <row r="36" customFormat="false" ht="15" hidden="false" customHeight="false" outlineLevel="0" collapsed="false">
      <c r="A36" s="48" t="s">
        <v>235</v>
      </c>
      <c r="B36" s="50" t="n">
        <f aca="false">B33/B35-1</f>
        <v>-0.0201368523002421</v>
      </c>
    </row>
    <row r="38" customFormat="false" ht="15" hidden="false" customHeight="false" outlineLevel="0" collapsed="false">
      <c r="A38" s="11" t="s">
        <v>236</v>
      </c>
      <c r="B38" s="11"/>
      <c r="C38" s="11"/>
      <c r="D38" s="11"/>
      <c r="E38" s="11"/>
      <c r="F38" s="11"/>
      <c r="G38" s="11"/>
      <c r="H38" s="11"/>
    </row>
    <row r="39" customFormat="false" ht="15" hidden="false" customHeight="false" outlineLevel="0" collapsed="false">
      <c r="A39" s="12" t="s">
        <v>237</v>
      </c>
      <c r="B39" s="51" t="n">
        <f aca="false">B40/B33</f>
        <v>0.0993368941079582</v>
      </c>
      <c r="C39" s="51" t="n">
        <f aca="false">C40/C33</f>
        <v>0.098062490914217</v>
      </c>
      <c r="D39" s="52" t="n">
        <f aca="false">$C$39+(Assumptions!$F$36-$C$39)*D5/5</f>
        <v>0.101449992731374</v>
      </c>
      <c r="E39" s="52" t="n">
        <f aca="false">$C$39+(Assumptions!$F$36-$C$39)*E5/5</f>
        <v>0.10483749454853</v>
      </c>
      <c r="F39" s="52" t="n">
        <f aca="false">$C$39+(Assumptions!$F$36-$C$39)*F5/5</f>
        <v>0.108224996365687</v>
      </c>
      <c r="G39" s="52" t="n">
        <f aca="false">$C$39+(Assumptions!$F$36-$C$39)*G5/5</f>
        <v>0.111612498182843</v>
      </c>
      <c r="H39" s="52" t="n">
        <f aca="false">$C$39+(Assumptions!$F$36-$C$39)*H5/5</f>
        <v>0.115</v>
      </c>
      <c r="J39" s="14" t="s">
        <v>238</v>
      </c>
    </row>
    <row r="40" customFormat="false" ht="15" hidden="false" customHeight="false" outlineLevel="0" collapsed="false">
      <c r="A40" s="20" t="s">
        <v>239</v>
      </c>
      <c r="B40" s="53" t="n">
        <v>201</v>
      </c>
      <c r="C40" s="54" t="n">
        <f aca="false">Assumptions!$B$41</f>
        <v>185</v>
      </c>
      <c r="D40" s="16" t="n">
        <f aca="false">D33*D39</f>
        <v>190.026416435151</v>
      </c>
      <c r="E40" s="16" t="n">
        <f aca="false">E33*E39</f>
        <v>198.430340214627</v>
      </c>
      <c r="F40" s="16" t="n">
        <f aca="false">F33*F39</f>
        <v>208.779273507611</v>
      </c>
      <c r="G40" s="16" t="n">
        <f aca="false">G33*G39</f>
        <v>219.459960830219</v>
      </c>
      <c r="H40" s="16" t="n">
        <f aca="false">H33*H39</f>
        <v>230.482236783964</v>
      </c>
    </row>
    <row r="42" customFormat="false" ht="15" hidden="false" customHeight="false" outlineLevel="0" collapsed="false">
      <c r="A42" s="12" t="s">
        <v>240</v>
      </c>
      <c r="B42" s="40" t="n">
        <f aca="false">-B33*Assumptions!$B$58</f>
        <v>-77.9015699</v>
      </c>
      <c r="C42" s="40" t="n">
        <f aca="false">-C33*Assumptions!$B$58</f>
        <v>-72.632256570258</v>
      </c>
      <c r="D42" s="40" t="n">
        <f aca="false">-D33*Assumptions!$B$58</f>
        <v>-72.1145151003131</v>
      </c>
      <c r="E42" s="40" t="n">
        <f aca="false">-E33*Assumptions!$B$58</f>
        <v>-72.8705710791926</v>
      </c>
      <c r="F42" s="40" t="n">
        <f aca="false">-F33*Assumptions!$B$58</f>
        <v>-74.2712155229188</v>
      </c>
      <c r="G42" s="40" t="n">
        <f aca="false">-G33*Assumptions!$B$58</f>
        <v>-75.7012756593078</v>
      </c>
      <c r="H42" s="40" t="n">
        <f aca="false">-H33*Assumptions!$B$58</f>
        <v>-77.1614444885445</v>
      </c>
    </row>
    <row r="43" customFormat="false" ht="15" hidden="false" customHeight="false" outlineLevel="0" collapsed="false">
      <c r="A43" s="20" t="s">
        <v>241</v>
      </c>
      <c r="B43" s="41" t="n">
        <f aca="false">B40+B42</f>
        <v>123.0984301</v>
      </c>
      <c r="C43" s="41" t="n">
        <f aca="false">C40+C42</f>
        <v>112.367743429742</v>
      </c>
      <c r="D43" s="41" t="n">
        <f aca="false">D40+D42</f>
        <v>117.911901334837</v>
      </c>
      <c r="E43" s="41" t="n">
        <f aca="false">E40+E42</f>
        <v>125.559769135434</v>
      </c>
      <c r="F43" s="41" t="n">
        <f aca="false">F40+F42</f>
        <v>134.508057984692</v>
      </c>
      <c r="G43" s="41" t="n">
        <f aca="false">G40+G42</f>
        <v>143.758685170911</v>
      </c>
      <c r="H43" s="41" t="n">
        <f aca="false">H40+H42</f>
        <v>153.32079229542</v>
      </c>
    </row>
    <row r="44" customFormat="false" ht="15" hidden="false" customHeight="false" outlineLevel="0" collapsed="false">
      <c r="A44" s="55" t="s">
        <v>242</v>
      </c>
      <c r="B44" s="43" t="n">
        <f aca="false">B43/B33</f>
        <v>0.0608368941079582</v>
      </c>
      <c r="C44" s="43" t="n">
        <f aca="false">C43/C33</f>
        <v>0.059562490914217</v>
      </c>
      <c r="D44" s="43" t="n">
        <f aca="false">D43/D33</f>
        <v>0.0629499927313736</v>
      </c>
      <c r="E44" s="43" t="n">
        <f aca="false">E43/E33</f>
        <v>0.0663374945485302</v>
      </c>
      <c r="F44" s="43" t="n">
        <f aca="false">F43/F33</f>
        <v>0.0697249963656868</v>
      </c>
      <c r="G44" s="43" t="n">
        <f aca="false">G43/G33</f>
        <v>0.0731124981828434</v>
      </c>
      <c r="H44" s="43" t="n">
        <f aca="false">H43/H33</f>
        <v>0.0765</v>
      </c>
    </row>
    <row r="45" customFormat="false" ht="15" hidden="false" customHeight="false" outlineLevel="0" collapsed="false">
      <c r="A45" s="12" t="s">
        <v>243</v>
      </c>
      <c r="B45" s="40" t="n">
        <f aca="false">-B43*Assumptions!$B$69</f>
        <v>-30.774607525</v>
      </c>
      <c r="C45" s="40" t="n">
        <f aca="false">-C43*Assumptions!$B$69</f>
        <v>-28.0919358574355</v>
      </c>
      <c r="D45" s="40" t="n">
        <f aca="false">-D43*Assumptions!$B$69</f>
        <v>-29.4779753337094</v>
      </c>
      <c r="E45" s="40" t="n">
        <f aca="false">-E43*Assumptions!$B$69</f>
        <v>-31.3899422838586</v>
      </c>
      <c r="F45" s="40" t="n">
        <f aca="false">-F43*Assumptions!$B$69</f>
        <v>-33.6270144961731</v>
      </c>
      <c r="G45" s="40" t="n">
        <f aca="false">-G43*Assumptions!$B$69</f>
        <v>-35.9396712927277</v>
      </c>
      <c r="H45" s="40" t="n">
        <f aca="false">-H43*Assumptions!$B$69</f>
        <v>-38.3301980738549</v>
      </c>
    </row>
    <row r="46" customFormat="false" ht="15" hidden="false" customHeight="false" outlineLevel="0" collapsed="false">
      <c r="A46" s="20" t="s">
        <v>244</v>
      </c>
      <c r="B46" s="41" t="n">
        <f aca="false">B43+B45</f>
        <v>92.323822575</v>
      </c>
      <c r="C46" s="41" t="n">
        <f aca="false">C43+C45</f>
        <v>84.2758075723065</v>
      </c>
      <c r="D46" s="41" t="n">
        <f aca="false">D43+D45</f>
        <v>88.4339260011281</v>
      </c>
      <c r="E46" s="41" t="n">
        <f aca="false">E43+E45</f>
        <v>94.1698268515758</v>
      </c>
      <c r="F46" s="41" t="n">
        <f aca="false">F43+F45</f>
        <v>100.881043488519</v>
      </c>
      <c r="G46" s="41" t="n">
        <f aca="false">G43+G45</f>
        <v>107.819013878183</v>
      </c>
      <c r="H46" s="41" t="n">
        <f aca="false">H43+H45</f>
        <v>114.990594221565</v>
      </c>
    </row>
    <row r="47" customFormat="false" ht="15" hidden="false" customHeight="false" outlineLevel="0" collapsed="false">
      <c r="A47" s="12" t="s">
        <v>245</v>
      </c>
      <c r="B47" s="40" t="n">
        <f aca="false">-B42</f>
        <v>77.9015699</v>
      </c>
      <c r="C47" s="40" t="n">
        <f aca="false">-C42</f>
        <v>72.632256570258</v>
      </c>
      <c r="D47" s="40" t="n">
        <f aca="false">-D42</f>
        <v>72.1145151003131</v>
      </c>
      <c r="E47" s="40" t="n">
        <f aca="false">-E42</f>
        <v>72.8705710791926</v>
      </c>
      <c r="F47" s="40" t="n">
        <f aca="false">-F42</f>
        <v>74.2712155229188</v>
      </c>
      <c r="G47" s="40" t="n">
        <f aca="false">-G42</f>
        <v>75.7012756593078</v>
      </c>
      <c r="H47" s="40" t="n">
        <f aca="false">-H42</f>
        <v>77.1614444885445</v>
      </c>
    </row>
    <row r="48" customFormat="false" ht="15" hidden="false" customHeight="false" outlineLevel="0" collapsed="false">
      <c r="A48" s="12" t="s">
        <v>246</v>
      </c>
      <c r="B48" s="40" t="n">
        <f aca="false">-B33*Assumptions!$B$59</f>
        <v>-79.9249873</v>
      </c>
      <c r="C48" s="40" t="n">
        <f aca="false">-C33*Assumptions!$B$59</f>
        <v>-74.518808688966</v>
      </c>
      <c r="D48" s="40" t="n">
        <f aca="false">-D33*Assumptions!$B$59</f>
        <v>-73.9876193886329</v>
      </c>
      <c r="E48" s="40" t="n">
        <f aca="false">-E33*Assumptions!$B$59</f>
        <v>-74.7633131851457</v>
      </c>
      <c r="F48" s="40" t="n">
        <f aca="false">-F33*Assumptions!$B$59</f>
        <v>-76.2003380040336</v>
      </c>
      <c r="G48" s="40" t="n">
        <f aca="false">-G33*Assumptions!$B$59</f>
        <v>-77.6675425595495</v>
      </c>
      <c r="H48" s="40" t="n">
        <f aca="false">-H33*Assumptions!$B$59</f>
        <v>-79.1656378518833</v>
      </c>
    </row>
    <row r="49" customFormat="false" ht="15" hidden="false" customHeight="false" outlineLevel="0" collapsed="false">
      <c r="A49" s="12" t="s">
        <v>247</v>
      </c>
      <c r="C49" s="40" t="n">
        <f aca="false">-(C33-B33)*Assumptions!$B$60</f>
        <v>13.6865281292</v>
      </c>
      <c r="D49" s="40" t="n">
        <f aca="false">-(D33-C33)*Assumptions!$B$60</f>
        <v>1.3447830388179</v>
      </c>
      <c r="E49" s="40" t="n">
        <f aca="false">-(E33-D33)*Assumptions!$B$60</f>
        <v>-1.96378176332344</v>
      </c>
      <c r="F49" s="40" t="n">
        <f aca="false">-(F33-E33)*Assumptions!$B$60</f>
        <v>-3.63803751617184</v>
      </c>
      <c r="G49" s="40" t="n">
        <f aca="false">-(G33-F33)*Assumptions!$B$60</f>
        <v>-3.71444191269864</v>
      </c>
      <c r="H49" s="40" t="n">
        <f aca="false">-(H33-G33)*Assumptions!$B$60</f>
        <v>-3.79264630970586</v>
      </c>
    </row>
    <row r="50" customFormat="false" ht="15" hidden="false" customHeight="false" outlineLevel="0" collapsed="false">
      <c r="A50" s="20" t="s">
        <v>248</v>
      </c>
      <c r="C50" s="41" t="n">
        <f aca="false">C46+C47+C48+C49</f>
        <v>96.0757835827986</v>
      </c>
      <c r="D50" s="41" t="n">
        <f aca="false">D46+D47+D48+D49</f>
        <v>87.9056047516261</v>
      </c>
      <c r="E50" s="41" t="n">
        <f aca="false">E46+E47+E48+E49</f>
        <v>90.3133029822993</v>
      </c>
      <c r="F50" s="41" t="n">
        <f aca="false">F46+F47+F48+F49</f>
        <v>95.3138834912326</v>
      </c>
      <c r="G50" s="41" t="n">
        <f aca="false">G46+G47+G48+G49</f>
        <v>102.138305065243</v>
      </c>
      <c r="H50" s="41" t="n">
        <f aca="false">H46+H47+H48+H49</f>
        <v>109.19375454852</v>
      </c>
    </row>
    <row r="51" customFormat="false" ht="15" hidden="false" customHeight="false" outlineLevel="0" collapsed="false">
      <c r="A51" s="42" t="s">
        <v>249</v>
      </c>
      <c r="C51" s="43" t="n">
        <f aca="false">C50/C40</f>
        <v>0.519328559907019</v>
      </c>
      <c r="D51" s="43" t="n">
        <f aca="false">D50/D40</f>
        <v>0.462596761022567</v>
      </c>
      <c r="E51" s="43" t="n">
        <f aca="false">E50/E40</f>
        <v>0.45513857852894</v>
      </c>
      <c r="F51" s="43" t="n">
        <f aca="false">F50/F40</f>
        <v>0.456529433644944</v>
      </c>
      <c r="G51" s="43" t="n">
        <f aca="false">G50/G40</f>
        <v>0.465407469676258</v>
      </c>
      <c r="H51" s="43" t="n">
        <f aca="false">H50/H40</f>
        <v>0.473762126193133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J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7" topLeftCell="B18" activePane="bottomRight" state="frozen"/>
      <selection pane="topLeft" activeCell="A1" activeCellId="0" sqref="A1"/>
      <selection pane="topRight" activeCell="B1" activeCellId="0" sqref="B1"/>
      <selection pane="bottomLeft" activeCell="A18" activeCellId="0" sqref="A18"/>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8" min="2" style="1" width="13"/>
    <col collapsed="false" customWidth="true" hidden="false" outlineLevel="0" max="10" min="10" style="1" width="80"/>
  </cols>
  <sheetData>
    <row r="1" customFormat="false" ht="17.35" hidden="false" customHeight="false" outlineLevel="0" collapsed="false">
      <c r="A1" s="9" t="s">
        <v>250</v>
      </c>
      <c r="B1" s="3"/>
      <c r="C1" s="3"/>
      <c r="D1" s="3"/>
      <c r="E1" s="3"/>
      <c r="F1" s="3"/>
      <c r="G1" s="3"/>
      <c r="H1" s="3"/>
    </row>
    <row r="2" customFormat="false" ht="15" hidden="false" customHeight="false" outlineLevel="0" collapsed="false">
      <c r="A2" s="10" t="s">
        <v>251</v>
      </c>
    </row>
    <row r="3" customFormat="false" ht="15" hidden="false" customHeight="false" outlineLevel="0" collapsed="false">
      <c r="A3" s="11" t="s">
        <v>252</v>
      </c>
      <c r="B3" s="11"/>
      <c r="C3" s="11"/>
      <c r="D3" s="11"/>
      <c r="E3" s="11"/>
      <c r="F3" s="11"/>
      <c r="G3" s="11"/>
      <c r="H3" s="11"/>
    </row>
    <row r="4" customFormat="false" ht="15" hidden="false" customHeight="false" outlineLevel="0" collapsed="false">
      <c r="A4" s="12" t="s">
        <v>253</v>
      </c>
      <c r="B4" s="56" t="n">
        <f aca="false">Assumptions!$B$63</f>
        <v>0.042</v>
      </c>
    </row>
    <row r="5" customFormat="false" ht="15" hidden="false" customHeight="false" outlineLevel="0" collapsed="false">
      <c r="A5" s="12" t="s">
        <v>145</v>
      </c>
      <c r="B5" s="56" t="n">
        <f aca="false">Assumptions!$B$64</f>
        <v>0.05</v>
      </c>
    </row>
    <row r="6" customFormat="false" ht="15" hidden="false" customHeight="false" outlineLevel="0" collapsed="false">
      <c r="A6" s="12" t="s">
        <v>147</v>
      </c>
      <c r="B6" s="57" t="n">
        <f aca="false">Assumptions!$B$65</f>
        <v>1.15</v>
      </c>
    </row>
    <row r="7" customFormat="false" ht="15" hidden="false" customHeight="false" outlineLevel="0" collapsed="false">
      <c r="A7" s="12" t="s">
        <v>149</v>
      </c>
      <c r="B7" s="56" t="n">
        <f aca="false">Assumptions!$B$66</f>
        <v>0.01</v>
      </c>
    </row>
    <row r="8" customFormat="false" ht="15" hidden="false" customHeight="false" outlineLevel="0" collapsed="false">
      <c r="A8" s="20" t="s">
        <v>151</v>
      </c>
      <c r="B8" s="30" t="n">
        <f aca="false">B4+B6*B5+B7</f>
        <v>0.1095</v>
      </c>
    </row>
    <row r="9" customFormat="false" ht="15" hidden="false" customHeight="false" outlineLevel="0" collapsed="false">
      <c r="A9" s="12" t="s">
        <v>153</v>
      </c>
      <c r="B9" s="56" t="n">
        <f aca="false">Assumptions!$B$68</f>
        <v>0.065</v>
      </c>
    </row>
    <row r="10" customFormat="false" ht="15" hidden="false" customHeight="false" outlineLevel="0" collapsed="false">
      <c r="A10" s="12" t="s">
        <v>155</v>
      </c>
      <c r="B10" s="56" t="n">
        <f aca="false">Assumptions!$B$69</f>
        <v>0.25</v>
      </c>
    </row>
    <row r="11" customFormat="false" ht="15" hidden="false" customHeight="false" outlineLevel="0" collapsed="false">
      <c r="A11" s="12" t="s">
        <v>157</v>
      </c>
      <c r="B11" s="58" t="n">
        <f aca="false">B9*(1-B10)</f>
        <v>0.04875</v>
      </c>
    </row>
    <row r="12" customFormat="false" ht="15" hidden="false" customHeight="false" outlineLevel="0" collapsed="false">
      <c r="A12" s="12" t="s">
        <v>158</v>
      </c>
      <c r="B12" s="56" t="n">
        <f aca="false">Assumptions!$B$71</f>
        <v>0.35</v>
      </c>
    </row>
    <row r="13" customFormat="false" ht="15" hidden="false" customHeight="false" outlineLevel="0" collapsed="false">
      <c r="A13" s="12" t="s">
        <v>254</v>
      </c>
      <c r="B13" s="58" t="n">
        <f aca="false">1-B12</f>
        <v>0.65</v>
      </c>
    </row>
    <row r="14" customFormat="false" ht="15" hidden="false" customHeight="false" outlineLevel="0" collapsed="false">
      <c r="A14" s="20" t="s">
        <v>160</v>
      </c>
      <c r="B14" s="31" t="n">
        <f aca="false">B8*B13+B11*B12</f>
        <v>0.0882375</v>
      </c>
    </row>
    <row r="16" customFormat="false" ht="15" hidden="false" customHeight="false" outlineLevel="0" collapsed="false">
      <c r="A16" s="11" t="s">
        <v>255</v>
      </c>
      <c r="B16" s="11"/>
      <c r="C16" s="11"/>
      <c r="D16" s="11"/>
      <c r="E16" s="11"/>
      <c r="F16" s="11"/>
      <c r="G16" s="11"/>
      <c r="H16" s="11"/>
    </row>
    <row r="17" customFormat="false" ht="15" hidden="false" customHeight="false" outlineLevel="0" collapsed="false">
      <c r="A17" s="23" t="s">
        <v>196</v>
      </c>
      <c r="B17" s="24" t="s">
        <v>198</v>
      </c>
      <c r="C17" s="24" t="s">
        <v>199</v>
      </c>
      <c r="D17" s="24" t="s">
        <v>200</v>
      </c>
      <c r="E17" s="24" t="s">
        <v>201</v>
      </c>
      <c r="F17" s="24" t="s">
        <v>202</v>
      </c>
      <c r="G17" s="24" t="s">
        <v>203</v>
      </c>
      <c r="H17" s="24" t="s">
        <v>256</v>
      </c>
    </row>
    <row r="18" customFormat="false" ht="15" hidden="false" customHeight="false" outlineLevel="0" collapsed="false">
      <c r="A18" s="37" t="s">
        <v>257</v>
      </c>
    </row>
    <row r="19" customFormat="false" ht="15" hidden="false" customHeight="false" outlineLevel="0" collapsed="false">
      <c r="A19" s="12" t="s">
        <v>239</v>
      </c>
      <c r="B19" s="59" t="n">
        <f aca="false">'Operating Model'!C40</f>
        <v>185</v>
      </c>
      <c r="C19" s="59" t="n">
        <f aca="false">'Operating Model'!D40</f>
        <v>190.026416435151</v>
      </c>
      <c r="D19" s="59" t="n">
        <f aca="false">'Operating Model'!E40</f>
        <v>198.430340214627</v>
      </c>
      <c r="E19" s="59" t="n">
        <f aca="false">'Operating Model'!F40</f>
        <v>208.779273507611</v>
      </c>
      <c r="F19" s="59" t="n">
        <f aca="false">'Operating Model'!G40</f>
        <v>219.459960830219</v>
      </c>
      <c r="G19" s="59" t="n">
        <f aca="false">'Operating Model'!H40</f>
        <v>230.482236783964</v>
      </c>
    </row>
    <row r="20" customFormat="false" ht="15" hidden="false" customHeight="false" outlineLevel="0" collapsed="false">
      <c r="A20" s="12" t="s">
        <v>258</v>
      </c>
      <c r="B20" s="59" t="n">
        <f aca="false">'Operating Model'!C50</f>
        <v>96.0757835827986</v>
      </c>
      <c r="C20" s="59" t="n">
        <f aca="false">'Operating Model'!D50</f>
        <v>87.9056047516261</v>
      </c>
      <c r="D20" s="59" t="n">
        <f aca="false">'Operating Model'!E50</f>
        <v>90.3133029822993</v>
      </c>
      <c r="E20" s="59" t="n">
        <f aca="false">'Operating Model'!F50</f>
        <v>95.3138834912326</v>
      </c>
      <c r="F20" s="59" t="n">
        <f aca="false">'Operating Model'!G50</f>
        <v>102.138305065243</v>
      </c>
      <c r="G20" s="59" t="n">
        <f aca="false">'Operating Model'!H50</f>
        <v>109.19375454852</v>
      </c>
    </row>
    <row r="21" customFormat="false" ht="15" hidden="false" customHeight="false" outlineLevel="0" collapsed="false">
      <c r="A21" s="12" t="s">
        <v>259</v>
      </c>
      <c r="B21" s="60" t="n">
        <f aca="false">Assumptions!$B$75</f>
        <v>0.39</v>
      </c>
      <c r="C21" s="33" t="n">
        <v>1</v>
      </c>
      <c r="D21" s="33" t="n">
        <v>1</v>
      </c>
      <c r="E21" s="33" t="n">
        <v>1</v>
      </c>
      <c r="F21" s="33" t="n">
        <v>1</v>
      </c>
      <c r="G21" s="33" t="n">
        <v>1</v>
      </c>
      <c r="J21" s="14" t="s">
        <v>260</v>
      </c>
    </row>
    <row r="22" customFormat="false" ht="15" hidden="false" customHeight="false" outlineLevel="0" collapsed="false">
      <c r="A22" s="20" t="s">
        <v>261</v>
      </c>
      <c r="B22" s="41" t="n">
        <f aca="false">B20*B21</f>
        <v>37.4695555972914</v>
      </c>
      <c r="C22" s="41" t="n">
        <f aca="false">C20*C21</f>
        <v>87.9056047516261</v>
      </c>
      <c r="D22" s="41" t="n">
        <f aca="false">D20*D21</f>
        <v>90.3133029822993</v>
      </c>
      <c r="E22" s="41" t="n">
        <f aca="false">E20*E21</f>
        <v>95.3138834912326</v>
      </c>
      <c r="F22" s="41" t="n">
        <f aca="false">F20*F21</f>
        <v>102.138305065243</v>
      </c>
      <c r="G22" s="41" t="n">
        <f aca="false">G20*G21</f>
        <v>109.19375454852</v>
      </c>
    </row>
    <row r="23" customFormat="false" ht="15" hidden="false" customHeight="false" outlineLevel="0" collapsed="false">
      <c r="A23" s="12" t="s">
        <v>262</v>
      </c>
      <c r="B23" s="61" t="n">
        <f aca="false">$B$21/2</f>
        <v>0.195</v>
      </c>
      <c r="C23" s="61" t="n">
        <f aca="false">$B$21+1-0.5</f>
        <v>0.89</v>
      </c>
      <c r="D23" s="61" t="n">
        <f aca="false">$B$21+2-0.5</f>
        <v>1.89</v>
      </c>
      <c r="E23" s="61" t="n">
        <f aca="false">$B$21+3-0.5</f>
        <v>2.89</v>
      </c>
      <c r="F23" s="61" t="n">
        <f aca="false">$B$21+4-0.5</f>
        <v>3.89</v>
      </c>
      <c r="G23" s="61" t="n">
        <f aca="false">$B$21+5-0.5</f>
        <v>4.89</v>
      </c>
    </row>
    <row r="24" customFormat="false" ht="15" hidden="false" customHeight="false" outlineLevel="0" collapsed="false">
      <c r="A24" s="12" t="s">
        <v>263</v>
      </c>
      <c r="B24" s="62" t="n">
        <f aca="false">1/(1+$B$14)^B23</f>
        <v>0.983646114909387</v>
      </c>
      <c r="C24" s="62" t="n">
        <f aca="false">1/(1+$B$14)^C23</f>
        <v>0.927504271243188</v>
      </c>
      <c r="D24" s="62" t="n">
        <f aca="false">1/(1+$B$14)^D23</f>
        <v>0.852299494589359</v>
      </c>
      <c r="E24" s="62" t="n">
        <f aca="false">1/(1+$B$14)^E23</f>
        <v>0.783192542610743</v>
      </c>
      <c r="F24" s="62" t="n">
        <f aca="false">1/(1+$B$14)^F23</f>
        <v>0.719688985732199</v>
      </c>
      <c r="G24" s="62" t="n">
        <f aca="false">1/(1+$B$14)^G23</f>
        <v>0.661334484184012</v>
      </c>
    </row>
    <row r="25" customFormat="false" ht="15" hidden="false" customHeight="false" outlineLevel="0" collapsed="false">
      <c r="A25" s="20" t="s">
        <v>264</v>
      </c>
      <c r="B25" s="16" t="n">
        <f aca="false">B22*B24</f>
        <v>36.856782790657</v>
      </c>
      <c r="C25" s="16" t="n">
        <f aca="false">C22*C24</f>
        <v>81.5328238733487</v>
      </c>
      <c r="D25" s="16" t="n">
        <f aca="false">D22*D24</f>
        <v>76.9739824865093</v>
      </c>
      <c r="E25" s="16" t="n">
        <f aca="false">E22*E24</f>
        <v>74.6491227576026</v>
      </c>
      <c r="F25" s="16" t="n">
        <f aca="false">F22*F24</f>
        <v>73.5078131768104</v>
      </c>
      <c r="G25" s="16" t="n">
        <f aca="false">G22*G24</f>
        <v>72.2135953404611</v>
      </c>
      <c r="H25" s="63" t="n">
        <f aca="false">SUM(B25:G25)</f>
        <v>415.734120425389</v>
      </c>
    </row>
    <row r="27" customFormat="false" ht="15" hidden="false" customHeight="false" outlineLevel="0" collapsed="false">
      <c r="A27" s="11" t="s">
        <v>265</v>
      </c>
      <c r="B27" s="11"/>
      <c r="C27" s="11"/>
      <c r="D27" s="11"/>
      <c r="E27" s="11"/>
      <c r="F27" s="11"/>
      <c r="G27" s="11"/>
      <c r="H27" s="11"/>
    </row>
    <row r="28" customFormat="false" ht="15" hidden="false" customHeight="false" outlineLevel="0" collapsed="false">
      <c r="A28" s="12" t="s">
        <v>266</v>
      </c>
      <c r="B28" s="40" t="n">
        <f aca="false">G19</f>
        <v>230.482236783964</v>
      </c>
    </row>
    <row r="29" customFormat="false" ht="15" hidden="false" customHeight="false" outlineLevel="0" collapsed="false">
      <c r="A29" s="12" t="s">
        <v>267</v>
      </c>
      <c r="B29" s="64" t="n">
        <f aca="false">Assumptions!$B$73</f>
        <v>7</v>
      </c>
    </row>
    <row r="30" customFormat="false" ht="15" hidden="false" customHeight="false" outlineLevel="0" collapsed="false">
      <c r="A30" s="12" t="s">
        <v>268</v>
      </c>
      <c r="B30" s="40" t="n">
        <f aca="false">B28*B29</f>
        <v>1613.37565748775</v>
      </c>
    </row>
    <row r="31" customFormat="false" ht="15" hidden="false" customHeight="false" outlineLevel="0" collapsed="false">
      <c r="A31" s="12" t="s">
        <v>269</v>
      </c>
      <c r="B31" s="60" t="n">
        <f aca="false">$B$21+Assumptions!$B$96</f>
        <v>5.39</v>
      </c>
    </row>
    <row r="32" customFormat="false" ht="15" hidden="false" customHeight="false" outlineLevel="0" collapsed="false">
      <c r="A32" s="12" t="s">
        <v>263</v>
      </c>
      <c r="B32" s="62" t="n">
        <f aca="false">1/(1+$B$14)^B31</f>
        <v>0.633956304583155</v>
      </c>
    </row>
    <row r="33" customFormat="false" ht="15" hidden="false" customHeight="false" outlineLevel="0" collapsed="false">
      <c r="A33" s="12" t="s">
        <v>270</v>
      </c>
      <c r="B33" s="40" t="n">
        <f aca="false">B30*B32</f>
        <v>1022.80966972535</v>
      </c>
    </row>
    <row r="34" customFormat="false" ht="15" hidden="false" customHeight="false" outlineLevel="0" collapsed="false">
      <c r="A34" s="12" t="s">
        <v>271</v>
      </c>
      <c r="B34" s="40" t="n">
        <f aca="false">$H$25</f>
        <v>415.734120425389</v>
      </c>
    </row>
    <row r="35" customFormat="false" ht="15" hidden="false" customHeight="false" outlineLevel="0" collapsed="false">
      <c r="A35" s="20" t="s">
        <v>70</v>
      </c>
      <c r="B35" s="16" t="n">
        <f aca="false">B33+B34</f>
        <v>1438.54379015074</v>
      </c>
    </row>
    <row r="36" customFormat="false" ht="15" hidden="false" customHeight="false" outlineLevel="0" collapsed="false">
      <c r="A36" s="12" t="s">
        <v>272</v>
      </c>
      <c r="B36" s="51" t="n">
        <f aca="false">B33/B35</f>
        <v>0.711003500017316</v>
      </c>
    </row>
    <row r="37" customFormat="false" ht="15" hidden="false" customHeight="false" outlineLevel="0" collapsed="false">
      <c r="A37" s="12" t="s">
        <v>273</v>
      </c>
      <c r="B37" s="40" t="n">
        <f aca="false">-Assumptions!$B$12</f>
        <v>-736.8</v>
      </c>
    </row>
    <row r="38" customFormat="false" ht="15" hidden="false" customHeight="false" outlineLevel="0" collapsed="false">
      <c r="A38" s="20" t="s">
        <v>61</v>
      </c>
      <c r="B38" s="16" t="n">
        <f aca="false">B35+B37</f>
        <v>701.743790150741</v>
      </c>
    </row>
    <row r="39" customFormat="false" ht="15" hidden="false" customHeight="false" outlineLevel="0" collapsed="false">
      <c r="A39" s="12" t="s">
        <v>59</v>
      </c>
      <c r="B39" s="65" t="n">
        <f aca="false">Assumptions!$B$6</f>
        <v>33.1</v>
      </c>
    </row>
    <row r="40" customFormat="false" ht="15" hidden="false" customHeight="false" outlineLevel="0" collapsed="false">
      <c r="A40" s="20" t="s">
        <v>274</v>
      </c>
      <c r="B40" s="66" t="n">
        <f aca="false">B38/B39</f>
        <v>21.2007187356719</v>
      </c>
    </row>
    <row r="41" customFormat="false" ht="15" hidden="false" customHeight="false" outlineLevel="0" collapsed="false">
      <c r="A41" s="12" t="s">
        <v>275</v>
      </c>
      <c r="B41" s="51" t="n">
        <f aca="false">B40/Assumptions!$B$5-1</f>
        <v>-0.228222834522318</v>
      </c>
    </row>
    <row r="43" customFormat="false" ht="15" hidden="false" customHeight="false" outlineLevel="0" collapsed="false">
      <c r="A43" s="11" t="s">
        <v>276</v>
      </c>
      <c r="B43" s="11"/>
      <c r="C43" s="11"/>
      <c r="D43" s="11"/>
      <c r="E43" s="11"/>
      <c r="F43" s="11"/>
      <c r="G43" s="11"/>
      <c r="H43" s="11"/>
    </row>
    <row r="44" customFormat="false" ht="15" hidden="false" customHeight="false" outlineLevel="0" collapsed="false">
      <c r="A44" s="12" t="s">
        <v>277</v>
      </c>
      <c r="B44" s="40" t="n">
        <f aca="false">G22</f>
        <v>109.19375454852</v>
      </c>
    </row>
    <row r="45" customFormat="false" ht="15" hidden="false" customHeight="false" outlineLevel="0" collapsed="false">
      <c r="A45" s="12" t="s">
        <v>163</v>
      </c>
      <c r="B45" s="58" t="n">
        <f aca="false">Assumptions!$B$74</f>
        <v>0.015</v>
      </c>
    </row>
    <row r="46" customFormat="false" ht="15" hidden="false" customHeight="false" outlineLevel="0" collapsed="false">
      <c r="A46" s="12" t="s">
        <v>268</v>
      </c>
      <c r="B46" s="40" t="n">
        <f aca="false">B44*(1+B45)/($B$14-B45)</f>
        <v>1513.31846208224</v>
      </c>
    </row>
    <row r="47" customFormat="false" ht="15" hidden="false" customHeight="false" outlineLevel="0" collapsed="false">
      <c r="A47" s="12" t="s">
        <v>270</v>
      </c>
      <c r="B47" s="40" t="n">
        <f aca="false">B46*$B$32</f>
        <v>959.377779879118</v>
      </c>
    </row>
    <row r="48" customFormat="false" ht="15" hidden="false" customHeight="false" outlineLevel="0" collapsed="false">
      <c r="A48" s="20" t="s">
        <v>70</v>
      </c>
      <c r="B48" s="16" t="n">
        <f aca="false">B47+$H$25</f>
        <v>1375.11190030451</v>
      </c>
    </row>
    <row r="49" customFormat="false" ht="15" hidden="false" customHeight="false" outlineLevel="0" collapsed="false">
      <c r="A49" s="12" t="s">
        <v>278</v>
      </c>
      <c r="B49" s="67" t="n">
        <f aca="false">B46/$B$28</f>
        <v>6.56587892931941</v>
      </c>
      <c r="J49" s="14" t="s">
        <v>279</v>
      </c>
    </row>
    <row r="50" customFormat="false" ht="15" hidden="false" customHeight="false" outlineLevel="0" collapsed="false">
      <c r="A50" s="20" t="s">
        <v>61</v>
      </c>
      <c r="B50" s="16" t="n">
        <f aca="false">B48-Assumptions!$B$12</f>
        <v>638.311900304508</v>
      </c>
    </row>
    <row r="51" customFormat="false" ht="15" hidden="false" customHeight="false" outlineLevel="0" collapsed="false">
      <c r="A51" s="20" t="s">
        <v>274</v>
      </c>
      <c r="B51" s="66" t="n">
        <f aca="false">B50/$B$39</f>
        <v>19.2843474412238</v>
      </c>
    </row>
    <row r="52" customFormat="false" ht="15" hidden="false" customHeight="false" outlineLevel="0" collapsed="false">
      <c r="A52" s="12" t="s">
        <v>275</v>
      </c>
      <c r="B52" s="51" t="n">
        <f aca="false">B51/Assumptions!$B$5-1</f>
        <v>-0.297985167774889</v>
      </c>
    </row>
    <row r="54" customFormat="false" ht="15" hidden="false" customHeight="false" outlineLevel="0" collapsed="false">
      <c r="A54" s="11" t="s">
        <v>280</v>
      </c>
      <c r="B54" s="11"/>
      <c r="C54" s="11"/>
      <c r="D54" s="11"/>
      <c r="E54" s="11"/>
      <c r="F54" s="11"/>
      <c r="G54" s="11"/>
      <c r="H54" s="11"/>
    </row>
    <row r="55" customFormat="false" ht="15" hidden="false" customHeight="false" outlineLevel="0" collapsed="false">
      <c r="A55" s="23" t="s">
        <v>281</v>
      </c>
      <c r="B55" s="68" t="n">
        <v>6</v>
      </c>
      <c r="C55" s="68" t="n">
        <v>6.5</v>
      </c>
      <c r="D55" s="68" t="n">
        <v>7</v>
      </c>
      <c r="E55" s="68" t="n">
        <v>7.5</v>
      </c>
      <c r="F55" s="68" t="n">
        <v>8</v>
      </c>
      <c r="G55" s="68" t="n">
        <v>8.5</v>
      </c>
      <c r="H55" s="68" t="n">
        <v>9</v>
      </c>
    </row>
    <row r="56" customFormat="false" ht="15" hidden="false" customHeight="false" outlineLevel="0" collapsed="false">
      <c r="A56" s="69" t="n">
        <v>0.0682</v>
      </c>
      <c r="B56" s="70" t="n">
        <f aca="false">($B$22/(1+$A56)^$B$23+$C$22/(1+$A56)^$C$23+$D$22/(1+$A56)^$D$23+$E$22/(1+$A56)^$E$23+$F$22/(1+$A56)^$F$23+$G$22/(1+$A56)^$G$23+$G$19*B$55/(1+$A56)^$B$31-Assumptions!$B$12)/$B$39</f>
        <v>20.2036516141421</v>
      </c>
      <c r="C56" s="70" t="n">
        <f aca="false">($B$22/(1+$A56)^$B$23+$C$22/(1+$A56)^$C$23+$D$22/(1+$A56)^$D$23+$E$22/(1+$A56)^$E$23+$F$22/(1+$A56)^$F$23+$G$22/(1+$A56)^$G$23+$G$19*C$55/(1+$A56)^$B$31-Assumptions!$B$12)/$B$39</f>
        <v>22.6433834803844</v>
      </c>
      <c r="D56" s="70" t="n">
        <f aca="false">($B$22/(1+$A56)^$B$23+$C$22/(1+$A56)^$C$23+$D$22/(1+$A56)^$D$23+$E$22/(1+$A56)^$E$23+$F$22/(1+$A56)^$F$23+$G$22/(1+$A56)^$G$23+$G$19*D$55/(1+$A56)^$B$31-Assumptions!$B$12)/$B$39</f>
        <v>25.0831153466266</v>
      </c>
      <c r="E56" s="70" t="n">
        <f aca="false">($B$22/(1+$A56)^$B$23+$C$22/(1+$A56)^$C$23+$D$22/(1+$A56)^$D$23+$E$22/(1+$A56)^$E$23+$F$22/(1+$A56)^$F$23+$G$22/(1+$A56)^$G$23+$G$19*E$55/(1+$A56)^$B$31-Assumptions!$B$12)/$B$39</f>
        <v>27.5228472128689</v>
      </c>
      <c r="F56" s="70" t="n">
        <f aca="false">($B$22/(1+$A56)^$B$23+$C$22/(1+$A56)^$C$23+$D$22/(1+$A56)^$D$23+$E$22/(1+$A56)^$E$23+$F$22/(1+$A56)^$F$23+$G$22/(1+$A56)^$G$23+$G$19*F$55/(1+$A56)^$B$31-Assumptions!$B$12)/$B$39</f>
        <v>29.9625790791112</v>
      </c>
      <c r="G56" s="70" t="n">
        <f aca="false">($B$22/(1+$A56)^$B$23+$C$22/(1+$A56)^$C$23+$D$22/(1+$A56)^$D$23+$E$22/(1+$A56)^$E$23+$F$22/(1+$A56)^$F$23+$G$22/(1+$A56)^$G$23+$G$19*G$55/(1+$A56)^$B$31-Assumptions!$B$12)/$B$39</f>
        <v>32.4023109453535</v>
      </c>
      <c r="H56" s="70" t="n">
        <f aca="false">($B$22/(1+$A56)^$B$23+$C$22/(1+$A56)^$C$23+$D$22/(1+$A56)^$D$23+$E$22/(1+$A56)^$E$23+$F$22/(1+$A56)^$F$23+$G$22/(1+$A56)^$G$23+$G$19*H$55/(1+$A56)^$B$31-Assumptions!$B$12)/$B$39</f>
        <v>34.8420428115958</v>
      </c>
    </row>
    <row r="57" customFormat="false" ht="15" hidden="false" customHeight="false" outlineLevel="0" collapsed="false">
      <c r="A57" s="69" t="n">
        <v>0.0782</v>
      </c>
      <c r="B57" s="70" t="n">
        <f aca="false">($B$22/(1+$A57)^$B$23+$C$22/(1+$A57)^$C$23+$D$22/(1+$A57)^$D$23+$E$22/(1+$A57)^$E$23+$F$22/(1+$A57)^$F$23+$G$22/(1+$A57)^$G$23+$G$19*B$55/(1+$A57)^$B$31-Assumptions!$B$12)/$B$39</f>
        <v>18.4501782780296</v>
      </c>
      <c r="C57" s="70" t="n">
        <f aca="false">($B$22/(1+$A57)^$B$23+$C$22/(1+$A57)^$C$23+$D$22/(1+$A57)^$D$23+$E$22/(1+$A57)^$E$23+$F$22/(1+$A57)^$F$23+$G$22/(1+$A57)^$G$23+$G$19*C$55/(1+$A57)^$B$31-Assumptions!$B$12)/$B$39</f>
        <v>20.7704032432144</v>
      </c>
      <c r="D57" s="70" t="n">
        <f aca="false">($B$22/(1+$A57)^$B$23+$C$22/(1+$A57)^$C$23+$D$22/(1+$A57)^$D$23+$E$22/(1+$A57)^$E$23+$F$22/(1+$A57)^$F$23+$G$22/(1+$A57)^$G$23+$G$19*D$55/(1+$A57)^$B$31-Assumptions!$B$12)/$B$39</f>
        <v>23.0906282083992</v>
      </c>
      <c r="E57" s="70" t="n">
        <f aca="false">($B$22/(1+$A57)^$B$23+$C$22/(1+$A57)^$C$23+$D$22/(1+$A57)^$D$23+$E$22/(1+$A57)^$E$23+$F$22/(1+$A57)^$F$23+$G$22/(1+$A57)^$G$23+$G$19*E$55/(1+$A57)^$B$31-Assumptions!$B$12)/$B$39</f>
        <v>25.410853173584</v>
      </c>
      <c r="F57" s="70" t="n">
        <f aca="false">($B$22/(1+$A57)^$B$23+$C$22/(1+$A57)^$C$23+$D$22/(1+$A57)^$D$23+$E$22/(1+$A57)^$E$23+$F$22/(1+$A57)^$F$23+$G$22/(1+$A57)^$G$23+$G$19*F$55/(1+$A57)^$B$31-Assumptions!$B$12)/$B$39</f>
        <v>27.7310781387688</v>
      </c>
      <c r="G57" s="70" t="n">
        <f aca="false">($B$22/(1+$A57)^$B$23+$C$22/(1+$A57)^$C$23+$D$22/(1+$A57)^$D$23+$E$22/(1+$A57)^$E$23+$F$22/(1+$A57)^$F$23+$G$22/(1+$A57)^$G$23+$G$19*G$55/(1+$A57)^$B$31-Assumptions!$B$12)/$B$39</f>
        <v>30.0513031039536</v>
      </c>
      <c r="H57" s="70" t="n">
        <f aca="false">($B$22/(1+$A57)^$B$23+$C$22/(1+$A57)^$C$23+$D$22/(1+$A57)^$D$23+$E$22/(1+$A57)^$E$23+$F$22/(1+$A57)^$F$23+$G$22/(1+$A57)^$G$23+$G$19*H$55/(1+$A57)^$B$31-Assumptions!$B$12)/$B$39</f>
        <v>32.3715280691384</v>
      </c>
    </row>
    <row r="58" customFormat="false" ht="15" hidden="false" customHeight="false" outlineLevel="0" collapsed="false">
      <c r="A58" s="69" t="n">
        <v>0.0882</v>
      </c>
      <c r="B58" s="70" t="n">
        <f aca="false">($B$22/(1+$A58)^$B$23+$C$22/(1+$A58)^$C$23+$D$22/(1+$A58)^$D$23+$E$22/(1+$A58)^$E$23+$F$22/(1+$A58)^$F$23+$G$22/(1+$A58)^$G$23+$G$19*B$55/(1+$A58)^$B$31-Assumptions!$B$12)/$B$39</f>
        <v>16.7923925999469</v>
      </c>
      <c r="C58" s="70" t="n">
        <f aca="false">($B$22/(1+$A58)^$B$23+$C$22/(1+$A58)^$C$23+$D$22/(1+$A58)^$D$23+$E$22/(1+$A58)^$E$23+$F$22/(1+$A58)^$F$23+$G$22/(1+$A58)^$G$23+$G$19*C$55/(1+$A58)^$B$31-Assumptions!$B$12)/$B$39</f>
        <v>18.9999879027781</v>
      </c>
      <c r="D58" s="71" t="n">
        <f aca="false">($B$22/(1+$A58)^$B$23+$C$22/(1+$A58)^$C$23+$D$22/(1+$A58)^$D$23+$E$22/(1+$A58)^$E$23+$F$22/(1+$A58)^$F$23+$G$22/(1+$A58)^$G$23+$G$19*D$55/(1+$A58)^$B$31-Assumptions!$B$12)/$B$39</f>
        <v>21.2075832056094</v>
      </c>
      <c r="E58" s="70" t="n">
        <f aca="false">($B$22/(1+$A58)^$B$23+$C$22/(1+$A58)^$C$23+$D$22/(1+$A58)^$D$23+$E$22/(1+$A58)^$E$23+$F$22/(1+$A58)^$F$23+$G$22/(1+$A58)^$G$23+$G$19*E$55/(1+$A58)^$B$31-Assumptions!$B$12)/$B$39</f>
        <v>23.4151785084407</v>
      </c>
      <c r="F58" s="70" t="n">
        <f aca="false">($B$22/(1+$A58)^$B$23+$C$22/(1+$A58)^$C$23+$D$22/(1+$A58)^$D$23+$E$22/(1+$A58)^$E$23+$F$22/(1+$A58)^$F$23+$G$22/(1+$A58)^$G$23+$G$19*F$55/(1+$A58)^$B$31-Assumptions!$B$12)/$B$39</f>
        <v>25.6227738112719</v>
      </c>
      <c r="G58" s="70" t="n">
        <f aca="false">($B$22/(1+$A58)^$B$23+$C$22/(1+$A58)^$C$23+$D$22/(1+$A58)^$D$23+$E$22/(1+$A58)^$E$23+$F$22/(1+$A58)^$F$23+$G$22/(1+$A58)^$G$23+$G$19*G$55/(1+$A58)^$B$31-Assumptions!$B$12)/$B$39</f>
        <v>27.8303691141032</v>
      </c>
      <c r="H58" s="70" t="n">
        <f aca="false">($B$22/(1+$A58)^$B$23+$C$22/(1+$A58)^$C$23+$D$22/(1+$A58)^$D$23+$E$22/(1+$A58)^$E$23+$F$22/(1+$A58)^$F$23+$G$22/(1+$A58)^$G$23+$G$19*H$55/(1+$A58)^$B$31-Assumptions!$B$12)/$B$39</f>
        <v>30.0379644169345</v>
      </c>
    </row>
    <row r="59" customFormat="false" ht="15" hidden="false" customHeight="false" outlineLevel="0" collapsed="false">
      <c r="A59" s="69" t="n">
        <v>0.0982</v>
      </c>
      <c r="B59" s="70" t="n">
        <f aca="false">($B$22/(1+$A59)^$B$23+$C$22/(1+$A59)^$C$23+$D$22/(1+$A59)^$D$23+$E$22/(1+$A59)^$E$23+$F$22/(1+$A59)^$F$23+$G$22/(1+$A59)^$G$23+$G$19*B$55/(1+$A59)^$B$31-Assumptions!$B$12)/$B$39</f>
        <v>15.2241551519372</v>
      </c>
      <c r="C59" s="70" t="n">
        <f aca="false">($B$22/(1+$A59)^$B$23+$C$22/(1+$A59)^$C$23+$D$22/(1+$A59)^$D$23+$E$22/(1+$A59)^$E$23+$F$22/(1+$A59)^$F$23+$G$22/(1+$A59)^$G$23+$G$19*C$55/(1+$A59)^$B$31-Assumptions!$B$12)/$B$39</f>
        <v>17.3255444316893</v>
      </c>
      <c r="D59" s="70" t="n">
        <f aca="false">($B$22/(1+$A59)^$B$23+$C$22/(1+$A59)^$C$23+$D$22/(1+$A59)^$D$23+$E$22/(1+$A59)^$E$23+$F$22/(1+$A59)^$F$23+$G$22/(1+$A59)^$G$23+$G$19*D$55/(1+$A59)^$B$31-Assumptions!$B$12)/$B$39</f>
        <v>19.4269337114415</v>
      </c>
      <c r="E59" s="70" t="n">
        <f aca="false">($B$22/(1+$A59)^$B$23+$C$22/(1+$A59)^$C$23+$D$22/(1+$A59)^$D$23+$E$22/(1+$A59)^$E$23+$F$22/(1+$A59)^$F$23+$G$22/(1+$A59)^$G$23+$G$19*E$55/(1+$A59)^$B$31-Assumptions!$B$12)/$B$39</f>
        <v>21.5283229911937</v>
      </c>
      <c r="F59" s="70" t="n">
        <f aca="false">($B$22/(1+$A59)^$B$23+$C$22/(1+$A59)^$C$23+$D$22/(1+$A59)^$D$23+$E$22/(1+$A59)^$E$23+$F$22/(1+$A59)^$F$23+$G$22/(1+$A59)^$G$23+$G$19*F$55/(1+$A59)^$B$31-Assumptions!$B$12)/$B$39</f>
        <v>23.6297122709459</v>
      </c>
      <c r="G59" s="70" t="n">
        <f aca="false">($B$22/(1+$A59)^$B$23+$C$22/(1+$A59)^$C$23+$D$22/(1+$A59)^$D$23+$E$22/(1+$A59)^$E$23+$F$22/(1+$A59)^$F$23+$G$22/(1+$A59)^$G$23+$G$19*G$55/(1+$A59)^$B$31-Assumptions!$B$12)/$B$39</f>
        <v>25.731101550698</v>
      </c>
      <c r="H59" s="70" t="n">
        <f aca="false">($B$22/(1+$A59)^$B$23+$C$22/(1+$A59)^$C$23+$D$22/(1+$A59)^$D$23+$E$22/(1+$A59)^$E$23+$F$22/(1+$A59)^$F$23+$G$22/(1+$A59)^$G$23+$G$19*H$55/(1+$A59)^$B$31-Assumptions!$B$12)/$B$39</f>
        <v>27.8324908304502</v>
      </c>
    </row>
    <row r="60" customFormat="false" ht="15" hidden="false" customHeight="false" outlineLevel="0" collapsed="false">
      <c r="A60" s="69" t="n">
        <v>0.1082</v>
      </c>
      <c r="B60" s="70" t="n">
        <f aca="false">($B$22/(1+$A60)^$B$23+$C$22/(1+$A60)^$C$23+$D$22/(1+$A60)^$D$23+$E$22/(1+$A60)^$E$23+$F$22/(1+$A60)^$F$23+$G$22/(1+$A60)^$G$23+$G$19*B$55/(1+$A60)^$B$31-Assumptions!$B$12)/$B$39</f>
        <v>13.7397743994742</v>
      </c>
      <c r="C60" s="70" t="n">
        <f aca="false">($B$22/(1+$A60)^$B$23+$C$22/(1+$A60)^$C$23+$D$22/(1+$A60)^$D$23+$E$22/(1+$A60)^$E$23+$F$22/(1+$A60)^$F$23+$G$22/(1+$A60)^$G$23+$G$19*C$55/(1+$A60)^$B$31-Assumptions!$B$12)/$B$39</f>
        <v>15.7409613608718</v>
      </c>
      <c r="D60" s="70" t="n">
        <f aca="false">($B$22/(1+$A60)^$B$23+$C$22/(1+$A60)^$C$23+$D$22/(1+$A60)^$D$23+$E$22/(1+$A60)^$E$23+$F$22/(1+$A60)^$F$23+$G$22/(1+$A60)^$G$23+$G$19*D$55/(1+$A60)^$B$31-Assumptions!$B$12)/$B$39</f>
        <v>17.7421483222693</v>
      </c>
      <c r="E60" s="70" t="n">
        <f aca="false">($B$22/(1+$A60)^$B$23+$C$22/(1+$A60)^$C$23+$D$22/(1+$A60)^$D$23+$E$22/(1+$A60)^$E$23+$F$22/(1+$A60)^$F$23+$G$22/(1+$A60)^$G$23+$G$19*E$55/(1+$A60)^$B$31-Assumptions!$B$12)/$B$39</f>
        <v>19.7433352836669</v>
      </c>
      <c r="F60" s="70" t="n">
        <f aca="false">($B$22/(1+$A60)^$B$23+$C$22/(1+$A60)^$C$23+$D$22/(1+$A60)^$D$23+$E$22/(1+$A60)^$E$23+$F$22/(1+$A60)^$F$23+$G$22/(1+$A60)^$G$23+$G$19*F$55/(1+$A60)^$B$31-Assumptions!$B$12)/$B$39</f>
        <v>21.7445222450644</v>
      </c>
      <c r="G60" s="70" t="n">
        <f aca="false">($B$22/(1+$A60)^$B$23+$C$22/(1+$A60)^$C$23+$D$22/(1+$A60)^$D$23+$E$22/(1+$A60)^$E$23+$F$22/(1+$A60)^$F$23+$G$22/(1+$A60)^$G$23+$G$19*G$55/(1+$A60)^$B$31-Assumptions!$B$12)/$B$39</f>
        <v>23.745709206462</v>
      </c>
      <c r="H60" s="70" t="n">
        <f aca="false">($B$22/(1+$A60)^$B$23+$C$22/(1+$A60)^$C$23+$D$22/(1+$A60)^$D$23+$E$22/(1+$A60)^$E$23+$F$22/(1+$A60)^$F$23+$G$22/(1+$A60)^$G$23+$G$19*H$55/(1+$A60)^$B$31-Assumptions!$B$12)/$B$39</f>
        <v>25.7468961678596</v>
      </c>
    </row>
    <row r="62" customFormat="false" ht="15" hidden="false" customHeight="false" outlineLevel="0" collapsed="false">
      <c r="A62" s="14" t="s">
        <v>282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J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3" topLeftCell="B34" activePane="bottomRight" state="frozen"/>
      <selection pane="topLeft" activeCell="A1" activeCellId="0" sqref="A1"/>
      <selection pane="topRight" activeCell="B1" activeCellId="0" sqref="B1"/>
      <selection pane="bottomLeft" activeCell="A34" activeCellId="0" sqref="A3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8" min="2" style="1" width="13"/>
    <col collapsed="false" customWidth="true" hidden="false" outlineLevel="0" max="10" min="10" style="1" width="84"/>
  </cols>
  <sheetData>
    <row r="1" customFormat="false" ht="17.35" hidden="false" customHeight="false" outlineLevel="0" collapsed="false">
      <c r="A1" s="9" t="s">
        <v>283</v>
      </c>
      <c r="B1" s="3"/>
      <c r="C1" s="3"/>
      <c r="D1" s="3"/>
      <c r="E1" s="3"/>
      <c r="F1" s="3"/>
      <c r="G1" s="3"/>
      <c r="H1" s="3"/>
    </row>
    <row r="2" customFormat="false" ht="15" hidden="false" customHeight="false" outlineLevel="0" collapsed="false">
      <c r="A2" s="10" t="s">
        <v>284</v>
      </c>
    </row>
    <row r="3" customFormat="false" ht="15" hidden="false" customHeight="false" outlineLevel="0" collapsed="false">
      <c r="A3" s="11" t="s">
        <v>285</v>
      </c>
      <c r="B3" s="11"/>
      <c r="C3" s="11"/>
      <c r="D3" s="11"/>
      <c r="E3" s="11"/>
      <c r="F3" s="11"/>
      <c r="G3" s="11"/>
      <c r="H3" s="11"/>
    </row>
    <row r="4" customFormat="false" ht="15" hidden="false" customHeight="false" outlineLevel="0" collapsed="false">
      <c r="A4" s="12" t="s">
        <v>74</v>
      </c>
      <c r="B4" s="72" t="n">
        <f aca="false">Assumptions!$B$79</f>
        <v>35.711</v>
      </c>
    </row>
    <row r="5" customFormat="false" ht="15" hidden="false" customHeight="false" outlineLevel="0" collapsed="false">
      <c r="A5" s="12" t="s">
        <v>286</v>
      </c>
      <c r="B5" s="39" t="n">
        <f aca="false">Assumptions!$B$78</f>
        <v>0.3</v>
      </c>
    </row>
    <row r="6" customFormat="false" ht="15" hidden="false" customHeight="false" outlineLevel="0" collapsed="false">
      <c r="A6" s="12" t="s">
        <v>59</v>
      </c>
      <c r="B6" s="73" t="n">
        <f aca="false">Assumptions!$B$6</f>
        <v>33.1</v>
      </c>
    </row>
    <row r="7" customFormat="false" ht="15" hidden="false" customHeight="false" outlineLevel="0" collapsed="false">
      <c r="A7" s="12" t="s">
        <v>170</v>
      </c>
      <c r="B7" s="40" t="n">
        <f aca="false">B4*B6</f>
        <v>1182.0341</v>
      </c>
    </row>
    <row r="8" customFormat="false" ht="15" hidden="false" customHeight="false" outlineLevel="0" collapsed="false">
      <c r="A8" s="12" t="s">
        <v>287</v>
      </c>
      <c r="B8" s="59" t="n">
        <f aca="false">Assumptions!$B$12</f>
        <v>736.8</v>
      </c>
    </row>
    <row r="9" customFormat="false" ht="15" hidden="false" customHeight="false" outlineLevel="0" collapsed="false">
      <c r="A9" s="20" t="s">
        <v>288</v>
      </c>
      <c r="B9" s="16" t="n">
        <f aca="false">B7+B8</f>
        <v>1918.8341</v>
      </c>
    </row>
    <row r="10" customFormat="false" ht="15" hidden="false" customHeight="false" outlineLevel="0" collapsed="false">
      <c r="A10" s="12" t="s">
        <v>171</v>
      </c>
      <c r="B10" s="59" t="n">
        <f aca="false">Assumptions!$B$41</f>
        <v>185</v>
      </c>
    </row>
    <row r="11" customFormat="false" ht="15" hidden="false" customHeight="false" outlineLevel="0" collapsed="false">
      <c r="A11" s="20" t="s">
        <v>172</v>
      </c>
      <c r="B11" s="35" t="n">
        <f aca="false">B9/B10</f>
        <v>10.3720762162162</v>
      </c>
    </row>
    <row r="13" customFormat="false" ht="15" hidden="false" customHeight="false" outlineLevel="0" collapsed="false">
      <c r="A13" s="11" t="s">
        <v>289</v>
      </c>
      <c r="B13" s="11"/>
      <c r="C13" s="11"/>
      <c r="D13" s="11"/>
      <c r="E13" s="11"/>
      <c r="F13" s="11"/>
      <c r="G13" s="11"/>
      <c r="H13" s="11"/>
    </row>
    <row r="14" customFormat="false" ht="15" hidden="false" customHeight="false" outlineLevel="0" collapsed="false">
      <c r="A14" s="6" t="s">
        <v>290</v>
      </c>
    </row>
    <row r="15" customFormat="false" ht="15" hidden="false" customHeight="false" outlineLevel="0" collapsed="false">
      <c r="A15" s="12" t="s">
        <v>291</v>
      </c>
      <c r="B15" s="40" t="n">
        <f aca="false">B7</f>
        <v>1182.0341</v>
      </c>
      <c r="C15" s="43" t="n">
        <f aca="false">B15/$B$19</f>
        <v>0.595701767842668</v>
      </c>
    </row>
    <row r="16" customFormat="false" ht="15" hidden="false" customHeight="false" outlineLevel="0" collapsed="false">
      <c r="A16" s="12" t="s">
        <v>292</v>
      </c>
      <c r="B16" s="40" t="n">
        <f aca="false">Assumptions!$B$10</f>
        <v>765.3</v>
      </c>
      <c r="C16" s="43" t="n">
        <f aca="false">B16/$B$19</f>
        <v>0.385683088948106</v>
      </c>
    </row>
    <row r="17" customFormat="false" ht="15" hidden="false" customHeight="false" outlineLevel="0" collapsed="false">
      <c r="A17" s="12" t="s">
        <v>293</v>
      </c>
      <c r="B17" s="40" t="n">
        <f aca="false">B24*Assumptions!$B$92</f>
        <v>6.9375</v>
      </c>
      <c r="C17" s="43" t="n">
        <f aca="false">B17/$B$19</f>
        <v>0.00349624517127595</v>
      </c>
      <c r="J17" s="14" t="s">
        <v>294</v>
      </c>
    </row>
    <row r="18" customFormat="false" ht="15" hidden="false" customHeight="false" outlineLevel="0" collapsed="false">
      <c r="A18" s="12" t="s">
        <v>295</v>
      </c>
      <c r="B18" s="40" t="n">
        <f aca="false">Assumptions!$B$93</f>
        <v>30</v>
      </c>
      <c r="C18" s="43" t="n">
        <f aca="false">B18/$B$19</f>
        <v>0.01511889803795</v>
      </c>
    </row>
    <row r="19" customFormat="false" ht="15" hidden="false" customHeight="false" outlineLevel="0" collapsed="false">
      <c r="A19" s="20" t="s">
        <v>296</v>
      </c>
      <c r="B19" s="41" t="n">
        <f aca="false">SUM(B15:B18)</f>
        <v>1984.2716</v>
      </c>
    </row>
    <row r="21" customFormat="false" ht="15" hidden="false" customHeight="false" outlineLevel="0" collapsed="false">
      <c r="A21" s="6" t="s">
        <v>45</v>
      </c>
    </row>
    <row r="22" customFormat="false" ht="15" hidden="false" customHeight="false" outlineLevel="0" collapsed="false">
      <c r="A22" s="12" t="s">
        <v>297</v>
      </c>
      <c r="B22" s="40" t="n">
        <f aca="false">0</f>
        <v>0</v>
      </c>
      <c r="C22" s="43" t="n">
        <f aca="false">B22/$B$28</f>
        <v>0</v>
      </c>
    </row>
    <row r="23" customFormat="false" ht="15" hidden="false" customHeight="false" outlineLevel="0" collapsed="false">
      <c r="A23" s="12" t="s">
        <v>298</v>
      </c>
      <c r="B23" s="40" t="n">
        <f aca="false">Assumptions!$B$83*$B$10</f>
        <v>740</v>
      </c>
      <c r="C23" s="43" t="n">
        <f aca="false">B23/$B$28</f>
        <v>0.372932818269435</v>
      </c>
    </row>
    <row r="24" customFormat="false" ht="15" hidden="false" customHeight="false" outlineLevel="0" collapsed="false">
      <c r="A24" s="12" t="s">
        <v>299</v>
      </c>
      <c r="B24" s="40" t="n">
        <f aca="false">Assumptions!$B$84*$B$10</f>
        <v>277.5</v>
      </c>
      <c r="C24" s="43" t="n">
        <f aca="false">B24/$B$28</f>
        <v>0.139849806851038</v>
      </c>
    </row>
    <row r="25" customFormat="false" ht="15" hidden="false" customHeight="false" outlineLevel="0" collapsed="false">
      <c r="A25" s="20" t="s">
        <v>66</v>
      </c>
      <c r="B25" s="41" t="n">
        <f aca="false">B22+B23+B24</f>
        <v>1017.5</v>
      </c>
      <c r="C25" s="43" t="n">
        <f aca="false">B25/$B$28</f>
        <v>0.512782625120473</v>
      </c>
    </row>
    <row r="26" customFormat="false" ht="15" hidden="false" customHeight="false" outlineLevel="0" collapsed="false">
      <c r="A26" s="12" t="s">
        <v>300</v>
      </c>
      <c r="B26" s="40" t="n">
        <f aca="false">MAX(0,Assumptions!$B$11-Assumptions!$B$91)</f>
        <v>0</v>
      </c>
      <c r="C26" s="43" t="n">
        <f aca="false">B26/$B$28</f>
        <v>0</v>
      </c>
    </row>
    <row r="27" customFormat="false" ht="15" hidden="false" customHeight="false" outlineLevel="0" collapsed="false">
      <c r="A27" s="12" t="s">
        <v>301</v>
      </c>
      <c r="B27" s="40" t="n">
        <f aca="false">B19-B25-B26</f>
        <v>966.7716</v>
      </c>
      <c r="C27" s="43" t="n">
        <f aca="false">B27/$B$28</f>
        <v>0.487217374879528</v>
      </c>
    </row>
    <row r="28" customFormat="false" ht="15" hidden="false" customHeight="false" outlineLevel="0" collapsed="false">
      <c r="A28" s="20" t="s">
        <v>302</v>
      </c>
      <c r="B28" s="41" t="n">
        <f aca="false">B25+B26+B27</f>
        <v>1984.2716</v>
      </c>
      <c r="C28" s="43" t="n">
        <f aca="false">B28/$B$28</f>
        <v>1</v>
      </c>
    </row>
    <row r="29" customFormat="false" ht="15" hidden="false" customHeight="false" outlineLevel="0" collapsed="false">
      <c r="A29" s="37" t="s">
        <v>303</v>
      </c>
      <c r="B29" s="74" t="n">
        <f aca="false">B28-B19</f>
        <v>0</v>
      </c>
    </row>
    <row r="30" customFormat="false" ht="15" hidden="false" customHeight="false" outlineLevel="0" collapsed="false">
      <c r="A30" s="55" t="s">
        <v>304</v>
      </c>
      <c r="B30" s="75" t="n">
        <f aca="false">B25/$B$10</f>
        <v>5.5</v>
      </c>
    </row>
    <row r="32" customFormat="false" ht="15" hidden="false" customHeight="false" outlineLevel="0" collapsed="false">
      <c r="A32" s="11" t="s">
        <v>305</v>
      </c>
      <c r="B32" s="11"/>
      <c r="C32" s="11"/>
      <c r="D32" s="11"/>
      <c r="E32" s="11"/>
      <c r="F32" s="11"/>
      <c r="G32" s="11"/>
      <c r="H32" s="11"/>
    </row>
    <row r="33" customFormat="false" ht="15" hidden="false" customHeight="false" outlineLevel="0" collapsed="false">
      <c r="A33" s="23" t="s">
        <v>196</v>
      </c>
      <c r="B33" s="24" t="s">
        <v>306</v>
      </c>
      <c r="C33" s="24" t="s">
        <v>199</v>
      </c>
      <c r="D33" s="24" t="s">
        <v>200</v>
      </c>
      <c r="E33" s="24" t="s">
        <v>201</v>
      </c>
      <c r="F33" s="24" t="s">
        <v>202</v>
      </c>
      <c r="G33" s="24" t="s">
        <v>203</v>
      </c>
    </row>
    <row r="34" customFormat="false" ht="15" hidden="false" customHeight="false" outlineLevel="0" collapsed="false">
      <c r="A34" s="12" t="s">
        <v>239</v>
      </c>
      <c r="C34" s="59" t="n">
        <f aca="false">'Operating Model'!D40</f>
        <v>190.026416435151</v>
      </c>
      <c r="D34" s="59" t="n">
        <f aca="false">'Operating Model'!E40</f>
        <v>198.430340214627</v>
      </c>
      <c r="E34" s="59" t="n">
        <f aca="false">'Operating Model'!F40</f>
        <v>208.779273507611</v>
      </c>
      <c r="F34" s="59" t="n">
        <f aca="false">'Operating Model'!G40</f>
        <v>219.459960830219</v>
      </c>
      <c r="G34" s="59" t="n">
        <f aca="false">'Operating Model'!H40</f>
        <v>230.482236783964</v>
      </c>
    </row>
    <row r="35" customFormat="false" ht="15" hidden="false" customHeight="false" outlineLevel="0" collapsed="false">
      <c r="A35" s="12" t="s">
        <v>246</v>
      </c>
      <c r="C35" s="59" t="n">
        <f aca="false">'Operating Model'!D48</f>
        <v>-73.9876193886329</v>
      </c>
      <c r="D35" s="59" t="n">
        <f aca="false">'Operating Model'!E48</f>
        <v>-74.7633131851457</v>
      </c>
      <c r="E35" s="59" t="n">
        <f aca="false">'Operating Model'!F48</f>
        <v>-76.2003380040336</v>
      </c>
      <c r="F35" s="59" t="n">
        <f aca="false">'Operating Model'!G48</f>
        <v>-77.6675425595495</v>
      </c>
      <c r="G35" s="59" t="n">
        <f aca="false">'Operating Model'!H48</f>
        <v>-79.1656378518833</v>
      </c>
    </row>
    <row r="36" customFormat="false" ht="15" hidden="false" customHeight="false" outlineLevel="0" collapsed="false">
      <c r="A36" s="12" t="s">
        <v>247</v>
      </c>
      <c r="C36" s="59" t="n">
        <f aca="false">'Operating Model'!D49</f>
        <v>1.3447830388179</v>
      </c>
      <c r="D36" s="59" t="n">
        <f aca="false">'Operating Model'!E49</f>
        <v>-1.96378176332344</v>
      </c>
      <c r="E36" s="59" t="n">
        <f aca="false">'Operating Model'!F49</f>
        <v>-3.63803751617184</v>
      </c>
      <c r="F36" s="59" t="n">
        <f aca="false">'Operating Model'!G49</f>
        <v>-3.71444191269864</v>
      </c>
      <c r="G36" s="59" t="n">
        <f aca="false">'Operating Model'!H49</f>
        <v>-3.79264630970586</v>
      </c>
    </row>
    <row r="37" customFormat="false" ht="15" hidden="false" customHeight="false" outlineLevel="0" collapsed="false">
      <c r="A37" s="12" t="s">
        <v>307</v>
      </c>
      <c r="C37" s="40" t="n">
        <f aca="false">-C47</f>
        <v>-84.6625</v>
      </c>
      <c r="D37" s="40" t="n">
        <f aca="false">-D47</f>
        <v>-82.9224107417652</v>
      </c>
      <c r="E37" s="40" t="n">
        <f aca="false">-E47</f>
        <v>-80.9317098342619</v>
      </c>
      <c r="F37" s="40" t="n">
        <f aca="false">-F47</f>
        <v>-78.5026905089632</v>
      </c>
      <c r="G37" s="40" t="n">
        <f aca="false">-G47</f>
        <v>-75.4900536240756</v>
      </c>
    </row>
    <row r="38" customFormat="false" ht="15" hidden="false" customHeight="false" outlineLevel="0" collapsed="false">
      <c r="A38" s="12" t="s">
        <v>308</v>
      </c>
      <c r="C38" s="40" t="n">
        <f aca="false">-MAX(0,C34+'Operating Model'!D42-C47)*Assumptions!$B$94</f>
        <v>-8.31235033370935</v>
      </c>
      <c r="D38" s="40" t="n">
        <f aca="false">-MAX(0,D34+'Operating Model'!E42-D47)*Assumptions!$B$94</f>
        <v>-10.6593395984173</v>
      </c>
      <c r="E38" s="40" t="n">
        <f aca="false">-MAX(0,E34+'Operating Model'!F42-E47)*Assumptions!$B$94</f>
        <v>-13.3940870376076</v>
      </c>
      <c r="F38" s="40" t="n">
        <f aca="false">-MAX(0,F34+'Operating Model'!G42-F47)*Assumptions!$B$94</f>
        <v>-16.3139986654869</v>
      </c>
      <c r="G38" s="40" t="n">
        <f aca="false">-MAX(0,G34+'Operating Model'!H42-G47)*Assumptions!$B$94</f>
        <v>-19.457684667836</v>
      </c>
    </row>
    <row r="39" customFormat="false" ht="15" hidden="false" customHeight="false" outlineLevel="0" collapsed="false">
      <c r="A39" s="20" t="s">
        <v>309</v>
      </c>
      <c r="C39" s="41" t="n">
        <f aca="false">SUM(C34:C38)</f>
        <v>24.4087297516261</v>
      </c>
      <c r="D39" s="41" t="n">
        <f aca="false">SUM(D34:D38)</f>
        <v>28.1214949259753</v>
      </c>
      <c r="E39" s="41" t="n">
        <f aca="false">SUM(E34:E38)</f>
        <v>34.6151011155362</v>
      </c>
      <c r="F39" s="41" t="n">
        <f aca="false">SUM(F34:F38)</f>
        <v>43.2612871835203</v>
      </c>
      <c r="G39" s="41" t="n">
        <f aca="false">SUM(G34:G38)</f>
        <v>52.5762143304634</v>
      </c>
    </row>
    <row r="40" customFormat="false" ht="15" hidden="false" customHeight="false" outlineLevel="0" collapsed="false">
      <c r="A40" s="12" t="s">
        <v>310</v>
      </c>
      <c r="C40" s="40" t="n">
        <f aca="false">-MIN(C50,$B$23*Assumptions!$B$89)</f>
        <v>-7.4</v>
      </c>
      <c r="D40" s="40" t="n">
        <f aca="false">-MIN(D50,$B$23*Assumptions!$B$89)</f>
        <v>-7.4</v>
      </c>
      <c r="E40" s="40" t="n">
        <f aca="false">-MIN(E50,$B$23*Assumptions!$B$89)</f>
        <v>-7.4</v>
      </c>
      <c r="F40" s="40" t="n">
        <f aca="false">-MIN(F50,$B$23*Assumptions!$B$89)</f>
        <v>-7.4</v>
      </c>
      <c r="G40" s="40" t="n">
        <f aca="false">-MIN(G50,$B$23*Assumptions!$B$89)</f>
        <v>-7.4</v>
      </c>
    </row>
    <row r="41" customFormat="false" ht="15" hidden="false" customHeight="false" outlineLevel="0" collapsed="false">
      <c r="A41" s="12" t="s">
        <v>311</v>
      </c>
      <c r="C41" s="40" t="n">
        <f aca="false">-MIN(MAX(0,C39+C40)*Assumptions!$B$90,C50+C40)</f>
        <v>-12.7565473137196</v>
      </c>
      <c r="D41" s="40" t="n">
        <f aca="false">-MIN(MAX(0,D39+D40)*Assumptions!$B$90,D50+D40)</f>
        <v>-15.5411211944815</v>
      </c>
      <c r="E41" s="40" t="n">
        <f aca="false">-MIN(MAX(0,E39+E40)*Assumptions!$B$90,E50+E40)</f>
        <v>-20.4113258366521</v>
      </c>
      <c r="F41" s="40" t="n">
        <f aca="false">-MIN(MAX(0,F39+F40)*Assumptions!$B$90,F50+F40)</f>
        <v>-26.8959653876402</v>
      </c>
      <c r="G41" s="40" t="n">
        <f aca="false">-MIN(MAX(0,G39+G40)*Assumptions!$B$90,G50+G40)</f>
        <v>-33.8821607478475</v>
      </c>
    </row>
    <row r="43" customFormat="false" ht="15" hidden="false" customHeight="false" outlineLevel="0" collapsed="false">
      <c r="A43" s="6" t="s">
        <v>312</v>
      </c>
    </row>
    <row r="44" customFormat="false" ht="15" hidden="false" customHeight="false" outlineLevel="0" collapsed="false">
      <c r="A44" s="12" t="s">
        <v>313</v>
      </c>
      <c r="C44" s="40" t="n">
        <f aca="false">B45</f>
        <v>0</v>
      </c>
      <c r="D44" s="40" t="n">
        <f aca="false">C45</f>
        <v>0</v>
      </c>
      <c r="E44" s="40" t="n">
        <f aca="false">D45</f>
        <v>0</v>
      </c>
      <c r="F44" s="40" t="n">
        <f aca="false">E45</f>
        <v>0</v>
      </c>
      <c r="G44" s="40" t="n">
        <f aca="false">F45</f>
        <v>0</v>
      </c>
    </row>
    <row r="45" customFormat="false" ht="15" hidden="false" customHeight="false" outlineLevel="0" collapsed="false">
      <c r="A45" s="20" t="s">
        <v>314</v>
      </c>
      <c r="B45" s="40" t="n">
        <f aca="false">$B$22</f>
        <v>0</v>
      </c>
      <c r="C45" s="16" t="n">
        <f aca="false">C44+C46</f>
        <v>0</v>
      </c>
      <c r="D45" s="16" t="n">
        <f aca="false">D44+D46</f>
        <v>0</v>
      </c>
      <c r="E45" s="16" t="n">
        <f aca="false">E44+E46</f>
        <v>0</v>
      </c>
      <c r="F45" s="16" t="n">
        <f aca="false">F44+F46</f>
        <v>0</v>
      </c>
      <c r="G45" s="16" t="n">
        <f aca="false">G44+G46</f>
        <v>0</v>
      </c>
    </row>
    <row r="46" customFormat="false" ht="15" hidden="false" customHeight="false" outlineLevel="0" collapsed="false">
      <c r="A46" s="76" t="s">
        <v>315</v>
      </c>
      <c r="C46" s="77" t="n">
        <f aca="false">MAX(0,Assumptions!$B$91-(C52+C39+C40+C41))</f>
        <v>0</v>
      </c>
      <c r="D46" s="77" t="n">
        <f aca="false">MAX(0,Assumptions!$B$91-(D52+D39+D40+D41))</f>
        <v>0</v>
      </c>
      <c r="E46" s="77" t="n">
        <f aca="false">MAX(0,Assumptions!$B$91-(E52+E39+E40+E41))</f>
        <v>0</v>
      </c>
      <c r="F46" s="77" t="n">
        <f aca="false">MAX(0,Assumptions!$B$91-(F52+F39+F40+F41))</f>
        <v>0</v>
      </c>
      <c r="G46" s="77" t="n">
        <f aca="false">MAX(0,Assumptions!$B$91-(G52+G39+G40+G41))</f>
        <v>0</v>
      </c>
    </row>
    <row r="47" customFormat="false" ht="15" hidden="false" customHeight="false" outlineLevel="0" collapsed="false">
      <c r="A47" s="76" t="s">
        <v>316</v>
      </c>
      <c r="C47" s="77" t="n">
        <f aca="false">C44*Assumptions!$B$87+C50*Assumptions!$B$85+C48*Assumptions!$B$86-C52*Assumptions!$B$88</f>
        <v>84.6625</v>
      </c>
      <c r="D47" s="77" t="n">
        <f aca="false">D44*Assumptions!$B$87+D50*Assumptions!$B$85+D48*Assumptions!$B$86-D52*Assumptions!$B$88</f>
        <v>82.9224107417652</v>
      </c>
      <c r="E47" s="77" t="n">
        <f aca="false">E44*Assumptions!$B$87+E50*Assumptions!$B$85+E48*Assumptions!$B$86-E52*Assumptions!$B$88</f>
        <v>80.9317098342619</v>
      </c>
      <c r="F47" s="77" t="n">
        <f aca="false">F44*Assumptions!$B$87+F50*Assumptions!$B$85+F48*Assumptions!$B$86-F52*Assumptions!$B$88</f>
        <v>78.5026905089632</v>
      </c>
      <c r="G47" s="77" t="n">
        <f aca="false">G44*Assumptions!$B$87+G50*Assumptions!$B$85+G48*Assumptions!$B$86-G52*Assumptions!$B$88</f>
        <v>75.4900536240756</v>
      </c>
    </row>
    <row r="48" customFormat="false" ht="15" hidden="false" customHeight="false" outlineLevel="0" collapsed="false">
      <c r="A48" s="12" t="s">
        <v>317</v>
      </c>
      <c r="B48" s="40" t="n">
        <f aca="false">$B$24</f>
        <v>277.5</v>
      </c>
      <c r="C48" s="40" t="n">
        <f aca="false">B48</f>
        <v>277.5</v>
      </c>
      <c r="D48" s="40" t="n">
        <f aca="false">C48</f>
        <v>277.5</v>
      </c>
      <c r="E48" s="40" t="n">
        <f aca="false">D48</f>
        <v>277.5</v>
      </c>
      <c r="F48" s="40" t="n">
        <f aca="false">E48</f>
        <v>277.5</v>
      </c>
      <c r="G48" s="40" t="n">
        <f aca="false">F48</f>
        <v>277.5</v>
      </c>
    </row>
    <row r="50" customFormat="false" ht="15" hidden="false" customHeight="false" outlineLevel="0" collapsed="false">
      <c r="A50" s="12" t="s">
        <v>318</v>
      </c>
      <c r="C50" s="40" t="n">
        <f aca="false">B51</f>
        <v>740</v>
      </c>
      <c r="D50" s="40" t="n">
        <f aca="false">C51</f>
        <v>719.84345268628</v>
      </c>
      <c r="E50" s="40" t="n">
        <f aca="false">D51</f>
        <v>696.902331491799</v>
      </c>
      <c r="F50" s="40" t="n">
        <f aca="false">E51</f>
        <v>669.091005655147</v>
      </c>
      <c r="G50" s="40" t="n">
        <f aca="false">F51</f>
        <v>634.795040267507</v>
      </c>
    </row>
    <row r="51" customFormat="false" ht="15" hidden="false" customHeight="false" outlineLevel="0" collapsed="false">
      <c r="A51" s="20" t="s">
        <v>319</v>
      </c>
      <c r="B51" s="40" t="n">
        <f aca="false">$B$23</f>
        <v>740</v>
      </c>
      <c r="C51" s="16" t="n">
        <f aca="false">C50+C40+C41</f>
        <v>719.84345268628</v>
      </c>
      <c r="D51" s="16" t="n">
        <f aca="false">D50+D40+D41</f>
        <v>696.902331491799</v>
      </c>
      <c r="E51" s="16" t="n">
        <f aca="false">E50+E40+E41</f>
        <v>669.091005655147</v>
      </c>
      <c r="F51" s="16" t="n">
        <f aca="false">F50+F40+F41</f>
        <v>634.795040267507</v>
      </c>
      <c r="G51" s="16" t="n">
        <f aca="false">G50+G40+G41</f>
        <v>593.512879519659</v>
      </c>
    </row>
    <row r="52" customFormat="false" ht="15" hidden="false" customHeight="false" outlineLevel="0" collapsed="false">
      <c r="A52" s="12" t="s">
        <v>320</v>
      </c>
      <c r="C52" s="40" t="n">
        <f aca="false">B53</f>
        <v>30</v>
      </c>
      <c r="D52" s="40" t="n">
        <f aca="false">C53</f>
        <v>34.2521824379065</v>
      </c>
      <c r="E52" s="40" t="n">
        <f aca="false">D53</f>
        <v>39.4325561694004</v>
      </c>
      <c r="F52" s="40" t="n">
        <f aca="false">E53</f>
        <v>46.2363314482844</v>
      </c>
      <c r="G52" s="40" t="n">
        <f aca="false">F53</f>
        <v>55.2016532441645</v>
      </c>
    </row>
    <row r="53" customFormat="false" ht="15" hidden="false" customHeight="false" outlineLevel="0" collapsed="false">
      <c r="A53" s="12" t="s">
        <v>321</v>
      </c>
      <c r="B53" s="40" t="n">
        <f aca="false">Assumptions!$B$91</f>
        <v>30</v>
      </c>
      <c r="C53" s="40" t="n">
        <f aca="false">C52+C39+C40+C41+C46</f>
        <v>34.2521824379065</v>
      </c>
      <c r="D53" s="40" t="n">
        <f aca="false">D52+D39+D40+D41+D46</f>
        <v>39.4325561694004</v>
      </c>
      <c r="E53" s="40" t="n">
        <f aca="false">E52+E39+E40+E41+E46</f>
        <v>46.2363314482844</v>
      </c>
      <c r="F53" s="40" t="n">
        <f aca="false">F52+F39+F40+F41+F46</f>
        <v>55.2016532441645</v>
      </c>
      <c r="G53" s="40" t="n">
        <f aca="false">G52+G39+G40+G41+G46</f>
        <v>66.4957068267803</v>
      </c>
    </row>
    <row r="55" customFormat="false" ht="15" hidden="false" customHeight="false" outlineLevel="0" collapsed="false">
      <c r="A55" s="20" t="s">
        <v>322</v>
      </c>
      <c r="B55" s="16" t="n">
        <f aca="false">B22+B23+B24</f>
        <v>1017.5</v>
      </c>
      <c r="C55" s="41" t="n">
        <f aca="false">C45+C51+C48</f>
        <v>997.34345268628</v>
      </c>
      <c r="D55" s="41" t="n">
        <f aca="false">D45+D51+D48</f>
        <v>974.402331491799</v>
      </c>
      <c r="E55" s="41" t="n">
        <f aca="false">E45+E51+E48</f>
        <v>946.591005655147</v>
      </c>
      <c r="F55" s="41" t="n">
        <f aca="false">F45+F51+F48</f>
        <v>912.295040267507</v>
      </c>
      <c r="G55" s="41" t="n">
        <f aca="false">G45+G51+G48</f>
        <v>871.012879519659</v>
      </c>
    </row>
    <row r="56" customFormat="false" ht="15" hidden="false" customHeight="false" outlineLevel="0" collapsed="false">
      <c r="A56" s="20" t="s">
        <v>323</v>
      </c>
      <c r="B56" s="16" t="n">
        <f aca="false">B55-Assumptions!$B$91</f>
        <v>987.5</v>
      </c>
      <c r="C56" s="16" t="n">
        <f aca="false">C55-C53</f>
        <v>963.091270248374</v>
      </c>
      <c r="D56" s="16" t="n">
        <f aca="false">D55-D53</f>
        <v>934.969775322399</v>
      </c>
      <c r="E56" s="16" t="n">
        <f aca="false">E55-E53</f>
        <v>900.354674206862</v>
      </c>
      <c r="F56" s="16" t="n">
        <f aca="false">F55-F53</f>
        <v>857.093387023342</v>
      </c>
      <c r="G56" s="16" t="n">
        <f aca="false">G55-G53</f>
        <v>804.517172692879</v>
      </c>
    </row>
    <row r="57" customFormat="false" ht="15" hidden="false" customHeight="false" outlineLevel="0" collapsed="false">
      <c r="A57" s="55" t="s">
        <v>324</v>
      </c>
      <c r="B57" s="75" t="n">
        <f aca="false">B56/$B$10</f>
        <v>5.33783783783784</v>
      </c>
      <c r="C57" s="75" t="n">
        <f aca="false">C56/C34</f>
        <v>5.06819677135281</v>
      </c>
      <c r="D57" s="75" t="n">
        <f aca="false">D56/D34</f>
        <v>4.71182871687421</v>
      </c>
      <c r="E57" s="75" t="n">
        <f aca="false">E56/E34</f>
        <v>4.31247153551399</v>
      </c>
      <c r="F57" s="75" t="n">
        <f aca="false">F56/F34</f>
        <v>3.90546587077183</v>
      </c>
      <c r="G57" s="75" t="n">
        <f aca="false">G56/G34</f>
        <v>3.49058211131025</v>
      </c>
    </row>
    <row r="58" customFormat="false" ht="15" hidden="false" customHeight="false" outlineLevel="0" collapsed="false">
      <c r="A58" s="55" t="s">
        <v>325</v>
      </c>
      <c r="C58" s="75" t="n">
        <f aca="false">C34/C47</f>
        <v>2.24451695183996</v>
      </c>
      <c r="D58" s="75" t="n">
        <f aca="false">D34/D47</f>
        <v>2.39296395798928</v>
      </c>
      <c r="E58" s="75" t="n">
        <f aca="false">E34/E47</f>
        <v>2.57969680777986</v>
      </c>
      <c r="F58" s="75" t="n">
        <f aca="false">F34/F47</f>
        <v>2.7955724753811</v>
      </c>
      <c r="G58" s="75" t="n">
        <f aca="false">G34/G47</f>
        <v>3.05314707990163</v>
      </c>
    </row>
    <row r="60" customFormat="false" ht="15" hidden="false" customHeight="false" outlineLevel="0" collapsed="false">
      <c r="A60" s="11" t="s">
        <v>326</v>
      </c>
      <c r="B60" s="11"/>
      <c r="C60" s="11"/>
      <c r="D60" s="11"/>
      <c r="E60" s="11"/>
      <c r="F60" s="11"/>
      <c r="G60" s="11"/>
      <c r="H60" s="11"/>
    </row>
    <row r="61" customFormat="false" ht="15" hidden="false" customHeight="false" outlineLevel="0" collapsed="false">
      <c r="A61" s="12" t="s">
        <v>327</v>
      </c>
      <c r="B61" s="40" t="n">
        <f aca="false">G34</f>
        <v>230.482236783964</v>
      </c>
    </row>
    <row r="62" customFormat="false" ht="15" hidden="false" customHeight="false" outlineLevel="0" collapsed="false">
      <c r="A62" s="12" t="s">
        <v>189</v>
      </c>
      <c r="B62" s="78" t="n">
        <f aca="false">Assumptions!$B$95</f>
        <v>7.5</v>
      </c>
    </row>
    <row r="63" customFormat="false" ht="15" hidden="false" customHeight="false" outlineLevel="0" collapsed="false">
      <c r="A63" s="12" t="s">
        <v>328</v>
      </c>
      <c r="B63" s="40" t="n">
        <f aca="false">B61*B62</f>
        <v>1728.61677587973</v>
      </c>
    </row>
    <row r="64" customFormat="false" ht="15" hidden="false" customHeight="false" outlineLevel="0" collapsed="false">
      <c r="A64" s="12" t="s">
        <v>329</v>
      </c>
      <c r="B64" s="40" t="n">
        <f aca="false">-G56</f>
        <v>-804.517172692879</v>
      </c>
    </row>
    <row r="65" customFormat="false" ht="15" hidden="false" customHeight="false" outlineLevel="0" collapsed="false">
      <c r="A65" s="20" t="s">
        <v>330</v>
      </c>
      <c r="B65" s="16" t="n">
        <f aca="false">B63+B64</f>
        <v>924.099603186852</v>
      </c>
    </row>
    <row r="66" customFormat="false" ht="15" hidden="false" customHeight="false" outlineLevel="0" collapsed="false">
      <c r="A66" s="12" t="s">
        <v>331</v>
      </c>
      <c r="B66" s="40" t="n">
        <f aca="false">B27</f>
        <v>966.7716</v>
      </c>
    </row>
    <row r="67" customFormat="false" ht="15" hidden="false" customHeight="false" outlineLevel="0" collapsed="false">
      <c r="A67" s="20" t="s">
        <v>332</v>
      </c>
      <c r="B67" s="79" t="n">
        <f aca="false">B65/B66</f>
        <v>0.955861346347837</v>
      </c>
    </row>
    <row r="68" customFormat="false" ht="15" hidden="false" customHeight="false" outlineLevel="0" collapsed="false">
      <c r="A68" s="20" t="s">
        <v>333</v>
      </c>
      <c r="B68" s="80" t="n">
        <f aca="false">B67^(1/Assumptions!$B$96)-1</f>
        <v>-0.00898784796431673</v>
      </c>
    </row>
    <row r="70" customFormat="false" ht="15" hidden="false" customHeight="false" outlineLevel="0" collapsed="false">
      <c r="A70" s="76" t="s">
        <v>334</v>
      </c>
      <c r="B70" s="81" t="n">
        <f aca="false">B11-B62</f>
        <v>2.87207621621622</v>
      </c>
      <c r="J70" s="14" t="s">
        <v>335</v>
      </c>
    </row>
    <row r="71" customFormat="false" ht="15" hidden="false" customHeight="false" outlineLevel="0" collapsed="false">
      <c r="A71" s="76" t="s">
        <v>336</v>
      </c>
      <c r="B71" s="81" t="n">
        <f aca="false">(G34*$B$11-G56)/B66</f>
        <v>1.64057586477963</v>
      </c>
    </row>
    <row r="72" customFormat="false" ht="15" hidden="false" customHeight="false" outlineLevel="0" collapsed="false">
      <c r="A72" s="76" t="s">
        <v>337</v>
      </c>
      <c r="B72" s="82" t="n">
        <f aca="false">B71^(1/Assumptions!$B$96)-1</f>
        <v>0.104076747887341</v>
      </c>
    </row>
    <row r="74" customFormat="false" ht="15" hidden="false" customHeight="false" outlineLevel="0" collapsed="false">
      <c r="A74" s="11" t="s">
        <v>338</v>
      </c>
      <c r="B74" s="11"/>
      <c r="C74" s="11"/>
      <c r="D74" s="11"/>
      <c r="E74" s="11"/>
      <c r="F74" s="11"/>
      <c r="G74" s="11"/>
      <c r="H74" s="11"/>
    </row>
    <row r="75" customFormat="false" ht="15" hidden="false" customHeight="false" outlineLevel="0" collapsed="false">
      <c r="A75" s="12" t="s">
        <v>192</v>
      </c>
      <c r="B75" s="51" t="n">
        <f aca="false">Assumptions!$B$97</f>
        <v>0.2</v>
      </c>
    </row>
    <row r="76" customFormat="false" ht="15" hidden="false" customHeight="false" outlineLevel="0" collapsed="false">
      <c r="A76" s="12" t="s">
        <v>339</v>
      </c>
      <c r="B76" s="40" t="n">
        <f aca="false">$B$65</f>
        <v>924.099603186852</v>
      </c>
    </row>
    <row r="77" customFormat="false" ht="15" hidden="false" customHeight="false" outlineLevel="0" collapsed="false">
      <c r="A77" s="12" t="s">
        <v>340</v>
      </c>
      <c r="B77" s="40" t="n">
        <f aca="false">B76/(1+B75)^Assumptions!$B$96</f>
        <v>371.374904830107</v>
      </c>
    </row>
    <row r="78" customFormat="false" ht="15" hidden="false" customHeight="false" outlineLevel="0" collapsed="false">
      <c r="A78" s="12" t="s">
        <v>341</v>
      </c>
      <c r="B78" s="40" t="n">
        <f aca="false">-($B$16+$B$17+$B$18-$B$25-$B$26)</f>
        <v>215.2625</v>
      </c>
    </row>
    <row r="79" customFormat="false" ht="15" hidden="false" customHeight="false" outlineLevel="0" collapsed="false">
      <c r="A79" s="12" t="s">
        <v>342</v>
      </c>
      <c r="B79" s="40" t="n">
        <f aca="false">B77+B78</f>
        <v>586.637404830107</v>
      </c>
    </row>
    <row r="80" customFormat="false" ht="15" hidden="false" customHeight="false" outlineLevel="0" collapsed="false">
      <c r="A80" s="20" t="s">
        <v>343</v>
      </c>
      <c r="B80" s="66" t="n">
        <f aca="false">B79/$B$6</f>
        <v>17.7231844359549</v>
      </c>
      <c r="J80" s="14" t="s">
        <v>344</v>
      </c>
    </row>
    <row r="81" customFormat="false" ht="15" hidden="false" customHeight="false" outlineLevel="0" collapsed="false">
      <c r="A81" s="12" t="s">
        <v>345</v>
      </c>
      <c r="B81" s="51" t="n">
        <f aca="false">B80/Assumptions!$B$5-1</f>
        <v>-0.354816729670371</v>
      </c>
    </row>
    <row r="82" customFormat="false" ht="15" hidden="false" customHeight="false" outlineLevel="0" collapsed="false">
      <c r="A82" s="12" t="s">
        <v>346</v>
      </c>
      <c r="B82" s="51" t="n">
        <f aca="false">B80/Assumptions!$B$17</f>
        <v>0.276924756811795</v>
      </c>
    </row>
    <row r="85" customFormat="false" ht="15" hidden="false" customHeight="false" outlineLevel="0" collapsed="false">
      <c r="A85" s="11" t="s">
        <v>347</v>
      </c>
      <c r="B85" s="11"/>
      <c r="C85" s="11"/>
      <c r="D85" s="11"/>
      <c r="E85" s="11"/>
      <c r="F85" s="11"/>
      <c r="G85" s="11"/>
      <c r="H85" s="11"/>
    </row>
    <row r="86" customFormat="false" ht="15" hidden="false" customHeight="false" outlineLevel="0" collapsed="false">
      <c r="A86" s="23" t="s">
        <v>348</v>
      </c>
      <c r="B86" s="83" t="n">
        <v>18</v>
      </c>
      <c r="C86" s="83" t="n">
        <v>21</v>
      </c>
      <c r="D86" s="83" t="n">
        <v>24</v>
      </c>
      <c r="E86" s="83" t="n">
        <v>27.47</v>
      </c>
      <c r="F86" s="83" t="n">
        <v>30</v>
      </c>
      <c r="G86" s="83" t="n">
        <v>33</v>
      </c>
      <c r="H86" s="83" t="n">
        <v>35.71</v>
      </c>
    </row>
    <row r="87" customFormat="false" ht="15" hidden="false" customHeight="false" outlineLevel="0" collapsed="false">
      <c r="A87" s="84" t="n">
        <v>6.5</v>
      </c>
      <c r="B87" s="85" t="n">
        <f aca="false">(($G$34*$A87-$G$56)/(B$86*$B$6+$B$16+$B$17+$B$18-$B$25-$B$26))^(1/Assumptions!$B$96)-1</f>
        <v>0.127572562432006</v>
      </c>
      <c r="C87" s="85" t="n">
        <f aca="false">(($G$34*$A87-$G$56)/(C$86*$B$6+$B$16+$B$17+$B$18-$B$25-$B$26))^(1/Assumptions!$B$96)-1</f>
        <v>0.0764779899317962</v>
      </c>
      <c r="D87" s="85" t="n">
        <f aca="false">(($G$34*$A87-$G$56)/(D$86*$B$6+$B$16+$B$17+$B$18-$B$25-$B$26))^(1/Assumptions!$B$96)-1</f>
        <v>0.0367347463487211</v>
      </c>
      <c r="E87" s="85" t="n">
        <f aca="false">(($G$34*$A87-$G$56)/(E$86*$B$6+$B$16+$B$17+$B$18-$B$25-$B$26))^(1/Assumptions!$B$96)-1</f>
        <v>-0.00010870852760414</v>
      </c>
      <c r="F87" s="85" t="n">
        <f aca="false">(($G$34*$A87-$G$56)/(F$86*$B$6+$B$16+$B$17+$B$18-$B$25-$B$26))^(1/Assumptions!$B$96)-1</f>
        <v>-0.0226336473338536</v>
      </c>
      <c r="G87" s="85" t="n">
        <f aca="false">(($G$34*$A87-$G$56)/(G$86*$B$6+$B$16+$B$17+$B$18-$B$25-$B$26))^(1/Assumptions!$B$96)-1</f>
        <v>-0.0458418613901425</v>
      </c>
      <c r="H87" s="85" t="n">
        <f aca="false">(($G$34*$A87-$G$56)/(H$86*$B$6+$B$16+$B$17+$B$18-$B$25-$B$26))^(1/Assumptions!$B$96)-1</f>
        <v>-0.0642449302206047</v>
      </c>
    </row>
    <row r="88" customFormat="false" ht="15" hidden="false" customHeight="false" outlineLevel="0" collapsed="false">
      <c r="A88" s="84" t="n">
        <v>7</v>
      </c>
      <c r="B88" s="85" t="n">
        <f aca="false">(($G$34*$A88-$G$56)/(B$86*$B$6+$B$16+$B$17+$B$18-$B$25-$B$26))^(1/Assumptions!$B$96)-1</f>
        <v>0.162773209437844</v>
      </c>
      <c r="C88" s="85" t="n">
        <f aca="false">(($G$34*$A88-$G$56)/(C$86*$B$6+$B$16+$B$17+$B$18-$B$25-$B$26))^(1/Assumptions!$B$96)-1</f>
        <v>0.110083562642269</v>
      </c>
      <c r="D88" s="85" t="n">
        <f aca="false">(($G$34*$A88-$G$56)/(D$86*$B$6+$B$16+$B$17+$B$18-$B$25-$B$26))^(1/Assumptions!$B$96)-1</f>
        <v>0.0690996114232987</v>
      </c>
      <c r="E88" s="85" t="n">
        <f aca="false">(($G$34*$A88-$G$56)/(E$86*$B$6+$B$16+$B$17+$B$18-$B$25-$B$26))^(1/Assumptions!$B$96)-1</f>
        <v>0.0311059747380267</v>
      </c>
      <c r="F88" s="85" t="n">
        <f aca="false">(($G$34*$A88-$G$56)/(F$86*$B$6+$B$16+$B$17+$B$18-$B$25-$B$26))^(1/Assumptions!$B$96)-1</f>
        <v>0.00787785065912683</v>
      </c>
      <c r="G88" s="85" t="n">
        <f aca="false">(($G$34*$A88-$G$56)/(G$86*$B$6+$B$16+$B$17+$B$18-$B$25-$B$26))^(1/Assumptions!$B$96)-1</f>
        <v>-0.0160548792091373</v>
      </c>
      <c r="H88" s="85" t="n">
        <f aca="false">(($G$34*$A88-$G$56)/(H$86*$B$6+$B$16+$B$17+$B$18-$B$25-$B$26))^(1/Assumptions!$B$96)-1</f>
        <v>-0.0350324564582224</v>
      </c>
    </row>
    <row r="89" customFormat="false" ht="15" hidden="false" customHeight="false" outlineLevel="0" collapsed="false">
      <c r="A89" s="84" t="n">
        <v>7.5</v>
      </c>
      <c r="B89" s="85" t="n">
        <f aca="false">(($G$34*$A89-$G$56)/(B$86*$B$6+$B$16+$B$17+$B$18-$B$25-$B$26))^(1/Assumptions!$B$96)-1</f>
        <v>0.194164797618039</v>
      </c>
      <c r="C89" s="85" t="n">
        <f aca="false">(($G$34*$A89-$G$56)/(C$86*$B$6+$B$16+$B$17+$B$18-$B$25-$B$26))^(1/Assumptions!$B$96)-1</f>
        <v>0.140052679372191</v>
      </c>
      <c r="D89" s="85" t="n">
        <f aca="false">(($G$34*$A89-$G$56)/(D$86*$B$6+$B$16+$B$17+$B$18-$B$25-$B$26))^(1/Assumptions!$B$96)-1</f>
        <v>0.0979622773782805</v>
      </c>
      <c r="E89" s="85" t="n">
        <f aca="false">(($G$34*$A89-$G$56)/(E$86*$B$6+$B$16+$B$17+$B$18-$B$25-$B$26))^(1/Assumptions!$B$96)-1</f>
        <v>0.0589429199534768</v>
      </c>
      <c r="F89" s="85" t="n">
        <f aca="false">(($G$34*$A89-$G$56)/(F$86*$B$6+$B$16+$B$17+$B$18-$B$25-$B$26))^(1/Assumptions!$B$96)-1</f>
        <v>0.0350877022166176</v>
      </c>
      <c r="G89" s="85" t="n">
        <f aca="false">(($G$34*$A89-$G$56)/(G$86*$B$6+$B$16+$B$17+$B$18-$B$25-$B$26))^(1/Assumptions!$B$96)-1</f>
        <v>0.010508856326799</v>
      </c>
      <c r="H89" s="86" t="n">
        <f aca="false">(($G$34*$A89-$G$56)/(H$86*$B$6+$B$16+$B$17+$B$18-$B$25-$B$26))^(1/Assumptions!$B$96)-1</f>
        <v>-0.00898106183694236</v>
      </c>
    </row>
    <row r="90" customFormat="false" ht="15" hidden="false" customHeight="false" outlineLevel="0" collapsed="false">
      <c r="A90" s="84" t="n">
        <v>8</v>
      </c>
      <c r="B90" s="85" t="n">
        <f aca="false">(($G$34*$A90-$G$56)/(B$86*$B$6+$B$16+$B$17+$B$18-$B$25-$B$26))^(1/Assumptions!$B$96)-1</f>
        <v>0.222565388567016</v>
      </c>
      <c r="C90" s="85" t="n">
        <f aca="false">(($G$34*$A90-$G$56)/(C$86*$B$6+$B$16+$B$17+$B$18-$B$25-$B$26))^(1/Assumptions!$B$96)-1</f>
        <v>0.167166332254707</v>
      </c>
      <c r="D90" s="85" t="n">
        <f aca="false">(($G$34*$A90-$G$56)/(D$86*$B$6+$B$16+$B$17+$B$18-$B$25-$B$26))^(1/Assumptions!$B$96)-1</f>
        <v>0.124074902352177</v>
      </c>
      <c r="E90" s="85" t="n">
        <f aca="false">(($G$34*$A90-$G$56)/(E$86*$B$6+$B$16+$B$17+$B$18-$B$25-$B$26))^(1/Assumptions!$B$96)-1</f>
        <v>0.0841275550791338</v>
      </c>
      <c r="F90" s="85" t="n">
        <f aca="false">(($G$34*$A90-$G$56)/(F$86*$B$6+$B$16+$B$17+$B$18-$B$25-$B$26))^(1/Assumptions!$B$96)-1</f>
        <v>0.0597049933020766</v>
      </c>
      <c r="G90" s="85" t="n">
        <f aca="false">(($G$34*$A90-$G$56)/(G$86*$B$6+$B$16+$B$17+$B$18-$B$25-$B$26))^(1/Assumptions!$B$96)-1</f>
        <v>0.0345415934633329</v>
      </c>
      <c r="H90" s="85" t="n">
        <f aca="false">(($G$34*$A90-$G$56)/(H$86*$B$6+$B$16+$B$17+$B$18-$B$25-$B$26))^(1/Assumptions!$B$96)-1</f>
        <v>0.0145881503367877</v>
      </c>
    </row>
    <row r="91" customFormat="false" ht="15" hidden="false" customHeight="false" outlineLevel="0" collapsed="false">
      <c r="A91" s="84" t="n">
        <v>8.5</v>
      </c>
      <c r="B91" s="85" t="n">
        <f aca="false">(($G$34*$A91-$G$56)/(B$86*$B$6+$B$16+$B$17+$B$18-$B$25-$B$26))^(1/Assumptions!$B$96)-1</f>
        <v>0.248548600910793</v>
      </c>
      <c r="C91" s="85" t="n">
        <f aca="false">(($G$34*$A91-$G$56)/(C$86*$B$6+$B$16+$B$17+$B$18-$B$25-$B$26))^(1/Assumptions!$B$96)-1</f>
        <v>0.191972147088896</v>
      </c>
      <c r="D91" s="85" t="n">
        <f aca="false">(($G$34*$A91-$G$56)/(D$86*$B$6+$B$16+$B$17+$B$18-$B$25-$B$26))^(1/Assumptions!$B$96)-1</f>
        <v>0.147964893964291</v>
      </c>
      <c r="E91" s="85" t="n">
        <f aca="false">(($G$34*$A91-$G$56)/(E$86*$B$6+$B$16+$B$17+$B$18-$B$25-$B$26))^(1/Assumptions!$B$96)-1</f>
        <v>0.107168544734811</v>
      </c>
      <c r="F91" s="85" t="n">
        <f aca="false">(($G$34*$A91-$G$56)/(F$86*$B$6+$B$16+$B$17+$B$18-$B$25-$B$26))^(1/Assumptions!$B$96)-1</f>
        <v>0.0822269296502027</v>
      </c>
      <c r="G91" s="85" t="n">
        <f aca="false">(($G$34*$A91-$G$56)/(G$86*$B$6+$B$16+$B$17+$B$18-$B$25-$B$26))^(1/Assumptions!$B$96)-1</f>
        <v>0.0565287314543195</v>
      </c>
      <c r="H91" s="85" t="n">
        <f aca="false">(($G$34*$A91-$G$56)/(H$86*$B$6+$B$16+$B$17+$B$18-$B$25-$B$26))^(1/Assumptions!$B$96)-1</f>
        <v>0.036151217309083</v>
      </c>
    </row>
    <row r="92" customFormat="false" ht="15" hidden="false" customHeight="false" outlineLevel="0" collapsed="false">
      <c r="A92" s="84" t="n">
        <v>9</v>
      </c>
      <c r="B92" s="85" t="n">
        <f aca="false">(($G$34*$A92-$G$56)/(B$86*$B$6+$B$16+$B$17+$B$18-$B$25-$B$26))^(1/Assumptions!$B$96)-1</f>
        <v>0.272533261721623</v>
      </c>
      <c r="C92" s="85" t="n">
        <f aca="false">(($G$34*$A92-$G$56)/(C$86*$B$6+$B$16+$B$17+$B$18-$B$25-$B$26))^(1/Assumptions!$B$96)-1</f>
        <v>0.21486997231014</v>
      </c>
      <c r="D92" s="85" t="n">
        <f aca="false">(($G$34*$A92-$G$56)/(D$86*$B$6+$B$16+$B$17+$B$18-$B$25-$B$26))^(1/Assumptions!$B$96)-1</f>
        <v>0.170017338366045</v>
      </c>
      <c r="E92" s="85" t="n">
        <f aca="false">(($G$34*$A92-$G$56)/(E$86*$B$6+$B$16+$B$17+$B$18-$B$25-$B$26))^(1/Assumptions!$B$96)-1</f>
        <v>0.128437289889395</v>
      </c>
      <c r="F92" s="85" t="n">
        <f aca="false">(($G$34*$A92-$G$56)/(F$86*$B$6+$B$16+$B$17+$B$18-$B$25-$B$26))^(1/Assumptions!$B$96)-1</f>
        <v>0.103016545536257</v>
      </c>
      <c r="G92" s="85" t="n">
        <f aca="false">(($G$34*$A92-$G$56)/(G$86*$B$6+$B$16+$B$17+$B$18-$B$25-$B$26))^(1/Assumptions!$B$96)-1</f>
        <v>0.0768246840847118</v>
      </c>
      <c r="H92" s="85" t="n">
        <f aca="false">(($G$34*$A92-$G$56)/(H$86*$B$6+$B$16+$B$17+$B$18-$B$25-$B$26))^(1/Assumptions!$B$96)-1</f>
        <v>0.0560557172042073</v>
      </c>
    </row>
    <row r="93" customFormat="false" ht="15" hidden="false" customHeight="false" outlineLevel="0" collapsed="false">
      <c r="A93" s="84" t="n">
        <v>10.4</v>
      </c>
      <c r="B93" s="85" t="n">
        <f aca="false">(($G$34*$A93-$G$56)/(B$86*$B$6+$B$16+$B$17+$B$18-$B$25-$B$26))^(1/Assumptions!$B$96)-1</f>
        <v>0.331485041919158</v>
      </c>
      <c r="C93" s="85" t="n">
        <f aca="false">(($G$34*$A93-$G$56)/(C$86*$B$6+$B$16+$B$17+$B$18-$B$25-$B$26))^(1/Assumptions!$B$96)-1</f>
        <v>0.271150424641357</v>
      </c>
      <c r="D93" s="85" t="n">
        <f aca="false">(($G$34*$A93-$G$56)/(D$86*$B$6+$B$16+$B$17+$B$18-$B$25-$B$26))^(1/Assumptions!$B$96)-1</f>
        <v>0.224219933326387</v>
      </c>
      <c r="E93" s="85" t="n">
        <f aca="false">(($G$34*$A93-$G$56)/(E$86*$B$6+$B$16+$B$17+$B$18-$B$25-$B$26))^(1/Assumptions!$B$96)-1</f>
        <v>0.180713634313006</v>
      </c>
      <c r="F93" s="85" t="n">
        <f aca="false">(($G$34*$A93-$G$56)/(F$86*$B$6+$B$16+$B$17+$B$18-$B$25-$B$26))^(1/Assumptions!$B$96)-1</f>
        <v>0.154115240480171</v>
      </c>
      <c r="G93" s="85" t="n">
        <f aca="false">(($G$34*$A93-$G$56)/(G$86*$B$6+$B$16+$B$17+$B$18-$B$25-$B$26))^(1/Assumptions!$B$96)-1</f>
        <v>0.126710006533225</v>
      </c>
      <c r="H93" s="85" t="n">
        <f aca="false">(($G$34*$A93-$G$56)/(H$86*$B$6+$B$16+$B$17+$B$18-$B$25-$B$26))^(1/Assumptions!$B$96)-1</f>
        <v>0.104978889894205</v>
      </c>
    </row>
    <row r="95" customFormat="false" ht="15" hidden="false" customHeight="false" outlineLevel="0" collapsed="false">
      <c r="A95" s="10" t="s">
        <v>349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4" min="3" style="1" width="11"/>
    <col collapsed="false" customWidth="true" hidden="false" outlineLevel="0" max="5" min="5" style="1" width="12"/>
    <col collapsed="false" customWidth="true" hidden="false" outlineLevel="0" max="6" min="6" style="1" width="11"/>
    <col collapsed="false" customWidth="true" hidden="false" outlineLevel="0" max="8" min="7" style="1" width="12"/>
    <col collapsed="false" customWidth="true" hidden="false" outlineLevel="0" max="9" min="9" style="1" width="13"/>
    <col collapsed="false" customWidth="true" hidden="false" outlineLevel="0" max="10" min="10" style="1" width="11"/>
    <col collapsed="false" customWidth="true" hidden="false" outlineLevel="0" max="13" min="13" style="1" width="80"/>
  </cols>
  <sheetData>
    <row r="1" customFormat="false" ht="17.35" hidden="false" customHeight="false" outlineLevel="0" collapsed="false">
      <c r="A1" s="9" t="s">
        <v>350</v>
      </c>
      <c r="B1" s="3"/>
      <c r="C1" s="3"/>
      <c r="D1" s="3"/>
      <c r="E1" s="3"/>
      <c r="F1" s="3"/>
      <c r="G1" s="3"/>
      <c r="H1" s="3"/>
      <c r="I1" s="3"/>
      <c r="J1" s="3"/>
      <c r="K1" s="3"/>
    </row>
    <row r="2" customFormat="false" ht="15" hidden="false" customHeight="false" outlineLevel="0" collapsed="false">
      <c r="A2" s="10" t="s">
        <v>351</v>
      </c>
    </row>
    <row r="4" customFormat="false" ht="22.35" hidden="false" customHeight="false" outlineLevel="0" collapsed="false">
      <c r="A4" s="87" t="s">
        <v>352</v>
      </c>
      <c r="B4" s="87" t="s">
        <v>353</v>
      </c>
      <c r="C4" s="87" t="s">
        <v>354</v>
      </c>
      <c r="D4" s="87" t="s">
        <v>355</v>
      </c>
      <c r="E4" s="87" t="s">
        <v>61</v>
      </c>
      <c r="F4" s="87" t="s">
        <v>69</v>
      </c>
      <c r="G4" s="87" t="s">
        <v>70</v>
      </c>
      <c r="H4" s="87" t="s">
        <v>356</v>
      </c>
      <c r="I4" s="87" t="s">
        <v>357</v>
      </c>
      <c r="J4" s="87" t="s">
        <v>358</v>
      </c>
      <c r="K4" s="87" t="s">
        <v>359</v>
      </c>
    </row>
    <row r="5" customFormat="false" ht="15" hidden="false" customHeight="false" outlineLevel="0" collapsed="false">
      <c r="A5" s="12" t="s">
        <v>360</v>
      </c>
      <c r="B5" s="88" t="s">
        <v>361</v>
      </c>
      <c r="C5" s="89"/>
      <c r="D5" s="90"/>
      <c r="E5" s="40" t="str">
        <f aca="false">IF(C5="","",C5*D5)</f>
        <v/>
      </c>
      <c r="F5" s="91"/>
      <c r="G5" s="40" t="str">
        <f aca="false">IF(E5="","",E5+F5)</f>
        <v/>
      </c>
      <c r="H5" s="91"/>
      <c r="I5" s="67" t="str">
        <f aca="false">IF(OR(G5="",H5=""),"",G5/H5)</f>
        <v/>
      </c>
      <c r="J5" s="89"/>
      <c r="K5" s="67" t="str">
        <f aca="false">IF(OR(C5="",J5=""),"",C5/J5)</f>
        <v/>
      </c>
    </row>
    <row r="6" customFormat="false" ht="15" hidden="false" customHeight="false" outlineLevel="0" collapsed="false">
      <c r="A6" s="12" t="s">
        <v>362</v>
      </c>
      <c r="B6" s="88" t="s">
        <v>363</v>
      </c>
      <c r="C6" s="89"/>
      <c r="D6" s="90"/>
      <c r="E6" s="40" t="str">
        <f aca="false">IF(C6="","",C6*D6)</f>
        <v/>
      </c>
      <c r="F6" s="91"/>
      <c r="G6" s="40" t="str">
        <f aca="false">IF(E6="","",E6+F6)</f>
        <v/>
      </c>
      <c r="H6" s="91"/>
      <c r="I6" s="67" t="str">
        <f aca="false">IF(OR(G6="",H6=""),"",G6/H6)</f>
        <v/>
      </c>
      <c r="J6" s="89"/>
      <c r="K6" s="67" t="str">
        <f aca="false">IF(OR(C6="",J6=""),"",C6/J6)</f>
        <v/>
      </c>
    </row>
    <row r="7" customFormat="false" ht="15" hidden="false" customHeight="false" outlineLevel="0" collapsed="false">
      <c r="A7" s="12" t="s">
        <v>364</v>
      </c>
      <c r="B7" s="88" t="s">
        <v>365</v>
      </c>
      <c r="C7" s="89"/>
      <c r="D7" s="90"/>
      <c r="E7" s="40" t="str">
        <f aca="false">IF(C7="","",C7*D7)</f>
        <v/>
      </c>
      <c r="F7" s="91"/>
      <c r="G7" s="40" t="str">
        <f aca="false">IF(E7="","",E7+F7)</f>
        <v/>
      </c>
      <c r="H7" s="91"/>
      <c r="I7" s="67" t="str">
        <f aca="false">IF(OR(G7="",H7=""),"",G7/H7)</f>
        <v/>
      </c>
      <c r="J7" s="89"/>
      <c r="K7" s="67" t="str">
        <f aca="false">IF(OR(C7="",J7=""),"",C7/J7)</f>
        <v/>
      </c>
    </row>
    <row r="8" customFormat="false" ht="15" hidden="false" customHeight="false" outlineLevel="0" collapsed="false">
      <c r="A8" s="12" t="s">
        <v>366</v>
      </c>
      <c r="B8" s="88" t="s">
        <v>367</v>
      </c>
      <c r="C8" s="89"/>
      <c r="D8" s="90"/>
      <c r="E8" s="40" t="str">
        <f aca="false">IF(C8="","",C8*D8)</f>
        <v/>
      </c>
      <c r="F8" s="91"/>
      <c r="G8" s="40" t="str">
        <f aca="false">IF(E8="","",E8+F8)</f>
        <v/>
      </c>
      <c r="H8" s="91"/>
      <c r="I8" s="67" t="str">
        <f aca="false">IF(OR(G8="",H8=""),"",G8/H8)</f>
        <v/>
      </c>
      <c r="J8" s="89"/>
      <c r="K8" s="67" t="str">
        <f aca="false">IF(OR(C8="",J8=""),"",C8/J8)</f>
        <v/>
      </c>
    </row>
    <row r="9" customFormat="false" ht="15" hidden="false" customHeight="false" outlineLevel="0" collapsed="false">
      <c r="A9" s="12" t="s">
        <v>368</v>
      </c>
      <c r="B9" s="88" t="s">
        <v>369</v>
      </c>
      <c r="C9" s="89"/>
      <c r="D9" s="90"/>
      <c r="E9" s="40" t="str">
        <f aca="false">IF(C9="","",C9*D9)</f>
        <v/>
      </c>
      <c r="F9" s="91"/>
      <c r="G9" s="40" t="str">
        <f aca="false">IF(E9="","",E9+F9)</f>
        <v/>
      </c>
      <c r="H9" s="91"/>
      <c r="I9" s="67" t="str">
        <f aca="false">IF(OR(G9="",H9=""),"",G9/H9)</f>
        <v/>
      </c>
      <c r="J9" s="89"/>
      <c r="K9" s="67" t="str">
        <f aca="false">IF(OR(C9="",J9=""),"",C9/J9)</f>
        <v/>
      </c>
    </row>
    <row r="10" customFormat="false" ht="15" hidden="false" customHeight="false" outlineLevel="0" collapsed="false">
      <c r="A10" s="12" t="s">
        <v>370</v>
      </c>
      <c r="B10" s="88" t="s">
        <v>371</v>
      </c>
      <c r="C10" s="89"/>
      <c r="D10" s="90"/>
      <c r="E10" s="40" t="str">
        <f aca="false">IF(C10="","",C10*D10)</f>
        <v/>
      </c>
      <c r="F10" s="91"/>
      <c r="G10" s="40" t="str">
        <f aca="false">IF(E10="","",E10+F10)</f>
        <v/>
      </c>
      <c r="H10" s="91"/>
      <c r="I10" s="67" t="str">
        <f aca="false">IF(OR(G10="",H10=""),"",G10/H10)</f>
        <v/>
      </c>
      <c r="J10" s="89"/>
      <c r="K10" s="67" t="str">
        <f aca="false">IF(OR(C10="",J10=""),"",C10/J10)</f>
        <v/>
      </c>
    </row>
    <row r="11" customFormat="false" ht="15" hidden="false" customHeight="false" outlineLevel="0" collapsed="false">
      <c r="A11" s="12" t="s">
        <v>372</v>
      </c>
      <c r="B11" s="88" t="s">
        <v>373</v>
      </c>
      <c r="C11" s="89"/>
      <c r="D11" s="90"/>
      <c r="E11" s="40" t="str">
        <f aca="false">IF(C11="","",C11*D11)</f>
        <v/>
      </c>
      <c r="F11" s="91"/>
      <c r="G11" s="40" t="str">
        <f aca="false">IF(E11="","",E11+F11)</f>
        <v/>
      </c>
      <c r="H11" s="91"/>
      <c r="I11" s="67" t="str">
        <f aca="false">IF(OR(G11="",H11=""),"",G11/H11)</f>
        <v/>
      </c>
      <c r="J11" s="89"/>
      <c r="K11" s="67" t="str">
        <f aca="false">IF(OR(C11="",J11=""),"",C11/J11)</f>
        <v/>
      </c>
    </row>
    <row r="13" customFormat="false" ht="15" hidden="false" customHeight="false" outlineLevel="0" collapsed="false">
      <c r="A13" s="92" t="s">
        <v>374</v>
      </c>
      <c r="B13" s="93"/>
      <c r="C13" s="93"/>
      <c r="D13" s="93"/>
      <c r="E13" s="93"/>
      <c r="F13" s="93"/>
      <c r="G13" s="93"/>
      <c r="H13" s="93"/>
      <c r="I13" s="94" t="str">
        <f aca="false">IFERROR(MEDIAN(I5:I11),"n.a.")</f>
        <v>n.a.</v>
      </c>
      <c r="J13" s="93"/>
      <c r="K13" s="94" t="str">
        <f aca="false">IFERROR(MEDIAN(K5:K11),"n.a.")</f>
        <v>n.a.</v>
      </c>
    </row>
    <row r="14" customFormat="false" ht="15" hidden="false" customHeight="false" outlineLevel="0" collapsed="false">
      <c r="A14" s="92" t="s">
        <v>375</v>
      </c>
      <c r="B14" s="93"/>
      <c r="C14" s="93"/>
      <c r="D14" s="93"/>
      <c r="E14" s="93"/>
      <c r="F14" s="93"/>
      <c r="G14" s="93"/>
      <c r="H14" s="93"/>
      <c r="I14" s="94" t="str">
        <f aca="false">IFERROR(AVERAGE(I5:I11),"n.a.")</f>
        <v>n.a.</v>
      </c>
      <c r="J14" s="93"/>
      <c r="K14" s="94" t="str">
        <f aca="false">IFERROR(AVERAGE(K5:K11),"n.a.")</f>
        <v>n.a.</v>
      </c>
    </row>
    <row r="16" customFormat="false" ht="15" hidden="false" customHeight="false" outlineLevel="0" collapsed="false">
      <c r="A16" s="20" t="s">
        <v>376</v>
      </c>
      <c r="B16" s="22" t="s">
        <v>377</v>
      </c>
      <c r="C16" s="95" t="n">
        <f aca="false">Assumptions!$B$5</f>
        <v>27.47</v>
      </c>
      <c r="D16" s="96" t="n">
        <f aca="false">Assumptions!$B$6</f>
        <v>33.1</v>
      </c>
      <c r="E16" s="97" t="n">
        <f aca="false">C16*D16</f>
        <v>909.257</v>
      </c>
      <c r="F16" s="98" t="n">
        <f aca="false">Assumptions!$B$12</f>
        <v>736.8</v>
      </c>
      <c r="G16" s="97" t="n">
        <f aca="false">E16+F16</f>
        <v>1646.057</v>
      </c>
      <c r="H16" s="98" t="n">
        <f aca="false">'Operating Model'!D40</f>
        <v>190.026416435151</v>
      </c>
      <c r="I16" s="99" t="n">
        <f aca="false">G16/H16</f>
        <v>8.66225354810994</v>
      </c>
      <c r="M16" s="14" t="s">
        <v>378</v>
      </c>
    </row>
    <row r="17" customFormat="false" ht="15" hidden="false" customHeight="false" outlineLevel="0" collapsed="false">
      <c r="A17" s="76" t="s">
        <v>379</v>
      </c>
      <c r="I17" s="82" t="str">
        <f aca="false">IFERROR(I16/I13-1,"n.a.")</f>
        <v>n.a.</v>
      </c>
    </row>
    <row r="20" customFormat="false" ht="15" hidden="false" customHeight="false" outlineLevel="0" collapsed="false">
      <c r="A20" s="11" t="s">
        <v>380</v>
      </c>
      <c r="B20" s="11"/>
      <c r="C20" s="11"/>
      <c r="D20" s="11"/>
      <c r="E20" s="11"/>
      <c r="F20" s="11"/>
      <c r="G20" s="11"/>
      <c r="H20" s="11"/>
      <c r="I20" s="11"/>
      <c r="J20" s="11"/>
      <c r="K20" s="11"/>
    </row>
    <row r="21" customFormat="false" ht="15" hidden="false" customHeight="false" outlineLevel="0" collapsed="false">
      <c r="A21" s="10" t="s">
        <v>381</v>
      </c>
    </row>
    <row r="23" customFormat="false" ht="15" hidden="false" customHeight="false" outlineLevel="0" collapsed="false">
      <c r="A23" s="12" t="s">
        <v>382</v>
      </c>
      <c r="C23" s="100" t="n">
        <v>6</v>
      </c>
    </row>
    <row r="24" customFormat="false" ht="15" hidden="false" customHeight="false" outlineLevel="0" collapsed="false">
      <c r="A24" s="12" t="s">
        <v>383</v>
      </c>
      <c r="C24" s="100" t="n">
        <v>7</v>
      </c>
    </row>
    <row r="25" customFormat="false" ht="15" hidden="false" customHeight="false" outlineLevel="0" collapsed="false">
      <c r="A25" s="12" t="s">
        <v>384</v>
      </c>
      <c r="C25" s="100" t="n">
        <v>8</v>
      </c>
    </row>
    <row r="26" customFormat="false" ht="15" hidden="false" customHeight="false" outlineLevel="0" collapsed="false">
      <c r="A26" s="12" t="s">
        <v>385</v>
      </c>
      <c r="C26" s="59" t="n">
        <f aca="false">'Operating Model'!D40</f>
        <v>190.026416435151</v>
      </c>
    </row>
    <row r="28" customFormat="false" ht="15" hidden="false" customHeight="false" outlineLevel="0" collapsed="false">
      <c r="A28" s="23" t="s">
        <v>386</v>
      </c>
      <c r="D28" s="101" t="s">
        <v>387</v>
      </c>
      <c r="E28" s="101" t="s">
        <v>388</v>
      </c>
      <c r="F28" s="101" t="s">
        <v>389</v>
      </c>
    </row>
    <row r="29" customFormat="false" ht="15" hidden="false" customHeight="false" outlineLevel="0" collapsed="false">
      <c r="A29" s="12" t="s">
        <v>79</v>
      </c>
      <c r="D29" s="40" t="n">
        <f aca="false">$C$26*$C$23</f>
        <v>1140.1584986109</v>
      </c>
      <c r="E29" s="40" t="n">
        <f aca="false">$C$26*$C$24</f>
        <v>1330.18491504605</v>
      </c>
      <c r="F29" s="40" t="n">
        <f aca="false">$C$26*$C$25</f>
        <v>1520.2113314812</v>
      </c>
    </row>
    <row r="30" customFormat="false" ht="15" hidden="false" customHeight="false" outlineLevel="0" collapsed="false">
      <c r="A30" s="12" t="s">
        <v>273</v>
      </c>
      <c r="D30" s="40" t="n">
        <f aca="false">-Assumptions!$B$12</f>
        <v>-736.8</v>
      </c>
      <c r="E30" s="40" t="n">
        <f aca="false">-Assumptions!$B$12</f>
        <v>-736.8</v>
      </c>
      <c r="F30" s="40" t="n">
        <f aca="false">-Assumptions!$B$12</f>
        <v>-736.8</v>
      </c>
    </row>
    <row r="31" customFormat="false" ht="15" hidden="false" customHeight="false" outlineLevel="0" collapsed="false">
      <c r="A31" s="12" t="s">
        <v>76</v>
      </c>
      <c r="D31" s="40" t="n">
        <f aca="false">D29+D30</f>
        <v>403.358498610903</v>
      </c>
      <c r="E31" s="40" t="n">
        <f aca="false">E29+E30</f>
        <v>593.384915046054</v>
      </c>
      <c r="F31" s="40" t="n">
        <f aca="false">F29+F30</f>
        <v>783.411331481204</v>
      </c>
    </row>
    <row r="32" customFormat="false" ht="15" hidden="false" customHeight="false" outlineLevel="0" collapsed="false">
      <c r="A32" s="20" t="s">
        <v>274</v>
      </c>
      <c r="D32" s="66" t="n">
        <f aca="false">D31/Assumptions!$B$6</f>
        <v>12.186057359846</v>
      </c>
      <c r="E32" s="66" t="n">
        <f aca="false">E31/Assumptions!$B$6</f>
        <v>17.92703670834</v>
      </c>
      <c r="F32" s="66" t="n">
        <f aca="false">F31/Assumptions!$B$6</f>
        <v>23.668016056834</v>
      </c>
    </row>
    <row r="33" customFormat="false" ht="15" hidden="false" customHeight="false" outlineLevel="0" collapsed="false">
      <c r="A33" s="12" t="s">
        <v>390</v>
      </c>
      <c r="D33" s="51" t="n">
        <f aca="false">D32/Assumptions!$B$5-1</f>
        <v>-0.556386699677975</v>
      </c>
      <c r="E33" s="51" t="n">
        <f aca="false">E32/Assumptions!$B$5-1</f>
        <v>-0.347395824232254</v>
      </c>
      <c r="F33" s="51" t="n">
        <f aca="false">F32/Assumptions!$B$5-1</f>
        <v>-0.138404948786532</v>
      </c>
    </row>
    <row r="36" customFormat="false" ht="15" hidden="false" customHeight="false" outlineLevel="0" collapsed="false">
      <c r="A36" s="11" t="s">
        <v>391</v>
      </c>
      <c r="B36" s="11"/>
      <c r="C36" s="11"/>
      <c r="D36" s="11"/>
      <c r="E36" s="11"/>
      <c r="F36" s="11"/>
      <c r="G36" s="11"/>
      <c r="H36" s="11"/>
      <c r="I36" s="11"/>
      <c r="J36" s="11"/>
      <c r="K36" s="11"/>
    </row>
    <row r="37" customFormat="false" ht="15" hidden="false" customHeight="false" outlineLevel="0" collapsed="false">
      <c r="A37" s="87" t="s">
        <v>392</v>
      </c>
      <c r="B37" s="87" t="s">
        <v>393</v>
      </c>
      <c r="C37" s="87" t="s">
        <v>394</v>
      </c>
      <c r="D37" s="87" t="s">
        <v>395</v>
      </c>
      <c r="E37" s="87" t="s">
        <v>396</v>
      </c>
      <c r="F37" s="87" t="s">
        <v>397</v>
      </c>
      <c r="G37" s="87" t="s">
        <v>398</v>
      </c>
    </row>
    <row r="38" customFormat="false" ht="15" hidden="false" customHeight="false" outlineLevel="0" collapsed="false">
      <c r="A38" s="12" t="s">
        <v>399</v>
      </c>
      <c r="B38" s="88" t="s">
        <v>400</v>
      </c>
      <c r="C38" s="88" t="s">
        <v>401</v>
      </c>
      <c r="D38" s="59" t="n">
        <f aca="false">Assumptions!$B$20</f>
        <v>2837.7</v>
      </c>
      <c r="E38" s="59" t="n">
        <f aca="false">Assumptions!$B$21</f>
        <v>205</v>
      </c>
      <c r="F38" s="99" t="n">
        <f aca="false">D38/E38</f>
        <v>13.8424390243902</v>
      </c>
      <c r="G38" s="51" t="n">
        <f aca="false">Assumptions!$B$17/48.2-1</f>
        <v>0.327800829875519</v>
      </c>
      <c r="M38" s="14" t="s">
        <v>402</v>
      </c>
    </row>
    <row r="39" customFormat="false" ht="15" hidden="false" customHeight="false" outlineLevel="0" collapsed="false">
      <c r="A39" s="102"/>
      <c r="B39" s="102"/>
      <c r="C39" s="102"/>
      <c r="D39" s="91"/>
      <c r="E39" s="91"/>
      <c r="F39" s="102"/>
      <c r="G39" s="102"/>
    </row>
    <row r="40" customFormat="false" ht="15" hidden="false" customHeight="false" outlineLevel="0" collapsed="false">
      <c r="A40" s="102"/>
      <c r="B40" s="102"/>
      <c r="C40" s="102"/>
      <c r="D40" s="91"/>
      <c r="E40" s="91"/>
      <c r="F40" s="102"/>
      <c r="G40" s="102"/>
    </row>
    <row r="41" customFormat="false" ht="15" hidden="false" customHeight="false" outlineLevel="0" collapsed="false">
      <c r="A41" s="102"/>
      <c r="B41" s="102"/>
      <c r="C41" s="102"/>
      <c r="D41" s="91"/>
      <c r="E41" s="91"/>
      <c r="F41" s="102"/>
      <c r="G41" s="102"/>
    </row>
    <row r="42" customFormat="false" ht="15" hidden="false" customHeight="false" outlineLevel="0" collapsed="false">
      <c r="A42" s="102"/>
      <c r="B42" s="102"/>
      <c r="C42" s="102"/>
      <c r="D42" s="91"/>
      <c r="E42" s="91"/>
      <c r="F42" s="102"/>
      <c r="G42" s="102"/>
    </row>
    <row r="44" customFormat="false" ht="15" hidden="false" customHeight="false" outlineLevel="0" collapsed="false">
      <c r="A44" s="10" t="s">
        <v>403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F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3" min="2" style="1" width="16"/>
    <col collapsed="false" customWidth="true" hidden="false" outlineLevel="0" max="4" min="4" style="1" width="14"/>
    <col collapsed="false" customWidth="true" hidden="false" outlineLevel="0" max="6" min="6" style="1" width="92"/>
  </cols>
  <sheetData>
    <row r="1" customFormat="false" ht="17.35" hidden="false" customHeight="false" outlineLevel="0" collapsed="false">
      <c r="A1" s="9" t="s">
        <v>404</v>
      </c>
      <c r="B1" s="3"/>
      <c r="C1" s="3"/>
      <c r="D1" s="3"/>
    </row>
    <row r="2" customFormat="false" ht="15" hidden="false" customHeight="false" outlineLevel="0" collapsed="false">
      <c r="A2" s="10" t="s">
        <v>405</v>
      </c>
    </row>
    <row r="4" customFormat="false" ht="15" hidden="false" customHeight="false" outlineLevel="0" collapsed="false">
      <c r="A4" s="11" t="s">
        <v>406</v>
      </c>
      <c r="B4" s="11"/>
      <c r="C4" s="11"/>
      <c r="D4" s="11"/>
    </row>
    <row r="5" customFormat="false" ht="22.35" hidden="false" customHeight="false" outlineLevel="0" collapsed="false">
      <c r="A5" s="103"/>
      <c r="B5" s="87" t="s">
        <v>407</v>
      </c>
      <c r="C5" s="87" t="s">
        <v>408</v>
      </c>
      <c r="D5" s="87" t="s">
        <v>409</v>
      </c>
    </row>
    <row r="6" customFormat="false" ht="15" hidden="false" customHeight="false" outlineLevel="0" collapsed="false">
      <c r="A6" s="12" t="s">
        <v>57</v>
      </c>
      <c r="B6" s="104" t="n">
        <f aca="false">Assumptions!$B$17</f>
        <v>64</v>
      </c>
      <c r="C6" s="104" t="n">
        <f aca="false">Assumptions!$B$5</f>
        <v>27.47</v>
      </c>
      <c r="D6" s="104" t="n">
        <f aca="false">C6-B6</f>
        <v>-36.53</v>
      </c>
    </row>
    <row r="7" customFormat="false" ht="15" hidden="false" customHeight="false" outlineLevel="0" collapsed="false">
      <c r="A7" s="12" t="s">
        <v>59</v>
      </c>
      <c r="B7" s="65" t="n">
        <f aca="false">Assumptions!$B$6</f>
        <v>33.1</v>
      </c>
      <c r="C7" s="65" t="n">
        <f aca="false">Assumptions!$B$6</f>
        <v>33.1</v>
      </c>
      <c r="D7" s="65" t="n">
        <f aca="false">C7-B7</f>
        <v>0</v>
      </c>
    </row>
    <row r="8" customFormat="false" ht="15" hidden="false" customHeight="false" outlineLevel="0" collapsed="false">
      <c r="A8" s="12" t="s">
        <v>61</v>
      </c>
      <c r="B8" s="40" t="n">
        <f aca="false">B6*B7</f>
        <v>2118.4</v>
      </c>
      <c r="C8" s="40" t="n">
        <f aca="false">C6*C7</f>
        <v>909.257</v>
      </c>
      <c r="D8" s="40" t="n">
        <f aca="false">C8-B8</f>
        <v>-1209.143</v>
      </c>
    </row>
    <row r="9" customFormat="false" ht="15" hidden="false" customHeight="false" outlineLevel="0" collapsed="false">
      <c r="A9" s="12" t="s">
        <v>69</v>
      </c>
      <c r="B9" s="40" t="n">
        <f aca="false">Assumptions!$B$19</f>
        <v>719.3</v>
      </c>
      <c r="C9" s="40" t="n">
        <f aca="false">Assumptions!$B$12</f>
        <v>736.8</v>
      </c>
      <c r="D9" s="40" t="n">
        <f aca="false">C9-B9</f>
        <v>17.5</v>
      </c>
    </row>
    <row r="10" customFormat="false" ht="15" hidden="false" customHeight="false" outlineLevel="0" collapsed="false">
      <c r="A10" s="20" t="s">
        <v>70</v>
      </c>
      <c r="B10" s="16" t="n">
        <f aca="false">B8+B9</f>
        <v>2837.7</v>
      </c>
      <c r="C10" s="16" t="n">
        <f aca="false">C8+C9</f>
        <v>1646.057</v>
      </c>
      <c r="D10" s="16" t="n">
        <f aca="false">C10-B10</f>
        <v>-1191.643</v>
      </c>
    </row>
    <row r="11" customFormat="false" ht="15" hidden="false" customHeight="false" outlineLevel="0" collapsed="false">
      <c r="A11" s="12" t="s">
        <v>410</v>
      </c>
      <c r="B11" s="40" t="n">
        <f aca="false">Assumptions!$B$21</f>
        <v>205</v>
      </c>
      <c r="C11" s="40" t="n">
        <f aca="false">Assumptions!$B$41</f>
        <v>185</v>
      </c>
      <c r="D11" s="40" t="n">
        <f aca="false">C11-B11</f>
        <v>-20</v>
      </c>
    </row>
    <row r="12" customFormat="false" ht="15" hidden="false" customHeight="false" outlineLevel="0" collapsed="false">
      <c r="A12" s="20" t="s">
        <v>411</v>
      </c>
      <c r="B12" s="105" t="n">
        <f aca="false">B10/B11</f>
        <v>13.8424390243902</v>
      </c>
      <c r="C12" s="79" t="n">
        <f aca="false">C10/C11</f>
        <v>8.8976054054054</v>
      </c>
      <c r="D12" s="105" t="n">
        <f aca="false">C12-B12</f>
        <v>-4.94483361898484</v>
      </c>
    </row>
    <row r="13" customFormat="false" ht="15" hidden="false" customHeight="false" outlineLevel="0" collapsed="false">
      <c r="A13" s="76" t="s">
        <v>206</v>
      </c>
      <c r="B13" s="106" t="s">
        <v>412</v>
      </c>
      <c r="C13" s="106" t="s">
        <v>413</v>
      </c>
    </row>
    <row r="14" customFormat="false" ht="15" hidden="false" customHeight="false" outlineLevel="0" collapsed="false">
      <c r="A14" s="76" t="s">
        <v>414</v>
      </c>
      <c r="B14" s="106" t="s">
        <v>415</v>
      </c>
      <c r="C14" s="106" t="s">
        <v>416</v>
      </c>
    </row>
    <row r="16" customFormat="false" ht="15" hidden="false" customHeight="false" outlineLevel="0" collapsed="false">
      <c r="A16" s="11" t="s">
        <v>417</v>
      </c>
      <c r="B16" s="11"/>
      <c r="C16" s="11"/>
      <c r="D16" s="11"/>
    </row>
    <row r="17" customFormat="false" ht="15" hidden="false" customHeight="false" outlineLevel="0" collapsed="false">
      <c r="A17" s="103"/>
      <c r="B17" s="101" t="s">
        <v>418</v>
      </c>
      <c r="C17" s="101" t="s">
        <v>419</v>
      </c>
    </row>
    <row r="18" customFormat="false" ht="15" hidden="false" customHeight="false" outlineLevel="0" collapsed="false">
      <c r="A18" s="20" t="s">
        <v>420</v>
      </c>
      <c r="B18" s="16" t="n">
        <f aca="false">$B$8</f>
        <v>2118.4</v>
      </c>
      <c r="C18" s="107" t="n">
        <f aca="false">B18/$C$7</f>
        <v>64</v>
      </c>
    </row>
    <row r="19" customFormat="false" ht="15" hidden="false" customHeight="false" outlineLevel="0" collapsed="false">
      <c r="A19" s="12" t="s">
        <v>421</v>
      </c>
      <c r="B19" s="40" t="n">
        <f aca="false">(C11-B11)*B12</f>
        <v>-276.848780487805</v>
      </c>
      <c r="C19" s="104" t="n">
        <f aca="false">B19/$C$7</f>
        <v>-8.36401149509984</v>
      </c>
    </row>
    <row r="20" customFormat="false" ht="15" hidden="false" customHeight="false" outlineLevel="0" collapsed="false">
      <c r="A20" s="12" t="s">
        <v>422</v>
      </c>
      <c r="B20" s="40" t="n">
        <f aca="false">(C12-B12)*C11</f>
        <v>-914.794219512195</v>
      </c>
      <c r="C20" s="104" t="n">
        <f aca="false">B20/$C$7</f>
        <v>-27.6372875985557</v>
      </c>
      <c r="F20" s="14" t="s">
        <v>423</v>
      </c>
    </row>
    <row r="21" customFormat="false" ht="15" hidden="false" customHeight="false" outlineLevel="0" collapsed="false">
      <c r="A21" s="12" t="s">
        <v>424</v>
      </c>
      <c r="B21" s="40" t="n">
        <f aca="false">-(C9-B9)</f>
        <v>-17.5</v>
      </c>
      <c r="C21" s="104" t="n">
        <f aca="false">B21/$C$7</f>
        <v>-0.528700906344411</v>
      </c>
    </row>
    <row r="22" customFormat="false" ht="15" hidden="false" customHeight="false" outlineLevel="0" collapsed="false">
      <c r="A22" s="76" t="s">
        <v>425</v>
      </c>
      <c r="B22" s="108" t="n">
        <f aca="false">$C$8-SUM(B18:B21)</f>
        <v>0</v>
      </c>
      <c r="C22" s="109" t="n">
        <f aca="false">B22/$C$7</f>
        <v>0</v>
      </c>
    </row>
    <row r="23" customFormat="false" ht="15" hidden="false" customHeight="false" outlineLevel="0" collapsed="false">
      <c r="A23" s="20" t="s">
        <v>426</v>
      </c>
      <c r="B23" s="41" t="n">
        <f aca="false">SUM(B18:B22)</f>
        <v>909.257</v>
      </c>
      <c r="C23" s="110" t="n">
        <f aca="false">B23/$C$7</f>
        <v>27.47</v>
      </c>
    </row>
    <row r="24" customFormat="false" ht="15" hidden="false" customHeight="false" outlineLevel="0" collapsed="false">
      <c r="A24" s="55" t="s">
        <v>427</v>
      </c>
      <c r="B24" s="77" t="n">
        <f aca="false">$C$8</f>
        <v>909.257</v>
      </c>
      <c r="C24" s="111" t="n">
        <f aca="false">B24/$C$7</f>
        <v>27.47</v>
      </c>
    </row>
    <row r="26" customFormat="false" ht="15" hidden="false" customHeight="false" outlineLevel="0" collapsed="false">
      <c r="A26" s="11" t="s">
        <v>428</v>
      </c>
      <c r="B26" s="11"/>
      <c r="C26" s="11"/>
      <c r="D26" s="11"/>
    </row>
    <row r="27" customFormat="false" ht="15" hidden="false" customHeight="false" outlineLevel="0" collapsed="false">
      <c r="A27" s="10" t="s">
        <v>429</v>
      </c>
    </row>
    <row r="28" customFormat="false" ht="15" hidden="false" customHeight="false" outlineLevel="0" collapsed="false">
      <c r="A28" s="12" t="s">
        <v>430</v>
      </c>
      <c r="B28" s="40" t="n">
        <f aca="false">$B$10</f>
        <v>2837.7</v>
      </c>
    </row>
    <row r="29" customFormat="false" ht="15" hidden="false" customHeight="false" outlineLevel="0" collapsed="false">
      <c r="A29" s="12" t="s">
        <v>431</v>
      </c>
      <c r="B29" s="40" t="n">
        <f aca="false">$B$11</f>
        <v>205</v>
      </c>
    </row>
    <row r="30" customFormat="false" ht="15" hidden="false" customHeight="false" outlineLevel="0" collapsed="false">
      <c r="A30" s="12" t="s">
        <v>432</v>
      </c>
      <c r="B30" s="78" t="n">
        <f aca="false">Assumptions!$B$83+Assumptions!$B$84</f>
        <v>5.5</v>
      </c>
    </row>
    <row r="31" customFormat="false" ht="15" hidden="false" customHeight="false" outlineLevel="0" collapsed="false">
      <c r="A31" s="12" t="s">
        <v>433</v>
      </c>
      <c r="B31" s="40" t="n">
        <f aca="false">B29*B30</f>
        <v>1127.5</v>
      </c>
    </row>
    <row r="32" customFormat="false" ht="15" hidden="false" customHeight="false" outlineLevel="0" collapsed="false">
      <c r="A32" s="20" t="s">
        <v>434</v>
      </c>
      <c r="B32" s="112" t="n">
        <v>756.3</v>
      </c>
      <c r="F32" s="14" t="s">
        <v>435</v>
      </c>
    </row>
    <row r="33" customFormat="false" ht="15" hidden="false" customHeight="false" outlineLevel="0" collapsed="false">
      <c r="A33" s="12" t="s">
        <v>293</v>
      </c>
      <c r="B33" s="40" t="n">
        <f aca="false">B31*Assumptions!$B$92</f>
        <v>28.1875</v>
      </c>
    </row>
    <row r="34" customFormat="false" ht="15" hidden="false" customHeight="false" outlineLevel="0" collapsed="false">
      <c r="A34" s="12" t="s">
        <v>295</v>
      </c>
      <c r="B34" s="40" t="n">
        <f aca="false">Assumptions!$B$93</f>
        <v>30</v>
      </c>
    </row>
    <row r="35" customFormat="false" ht="15" hidden="false" customHeight="false" outlineLevel="0" collapsed="false">
      <c r="A35" s="12" t="s">
        <v>436</v>
      </c>
      <c r="B35" s="40" t="n">
        <f aca="false">$B$8+B32+B33+B34</f>
        <v>2932.8875</v>
      </c>
    </row>
    <row r="36" customFormat="false" ht="15" hidden="false" customHeight="false" outlineLevel="0" collapsed="false">
      <c r="A36" s="20" t="s">
        <v>437</v>
      </c>
      <c r="B36" s="16" t="n">
        <f aca="false">B35-B31</f>
        <v>1805.3875</v>
      </c>
    </row>
    <row r="37" customFormat="false" ht="15" hidden="false" customHeight="false" outlineLevel="0" collapsed="false">
      <c r="A37" s="12" t="s">
        <v>438</v>
      </c>
      <c r="B37" s="51" t="n">
        <f aca="false">B36/B28</f>
        <v>0.636215068541424</v>
      </c>
    </row>
    <row r="39" customFormat="false" ht="15" hidden="false" customHeight="false" outlineLevel="0" collapsed="false">
      <c r="A39" s="12" t="s">
        <v>192</v>
      </c>
      <c r="B39" s="51" t="n">
        <f aca="false">Assumptions!$B$97</f>
        <v>0.2</v>
      </c>
    </row>
    <row r="40" customFormat="false" ht="15" hidden="false" customHeight="false" outlineLevel="0" collapsed="false">
      <c r="A40" s="12" t="s">
        <v>191</v>
      </c>
      <c r="B40" s="113" t="n">
        <f aca="false">Assumptions!$B$96</f>
        <v>5</v>
      </c>
    </row>
    <row r="41" customFormat="false" ht="15" hidden="false" customHeight="false" outlineLevel="0" collapsed="false">
      <c r="A41" s="12" t="s">
        <v>339</v>
      </c>
      <c r="B41" s="40" t="n">
        <f aca="false">B36*(1+B39)^B40</f>
        <v>4492.381824</v>
      </c>
    </row>
    <row r="42" customFormat="false" ht="15" hidden="false" customHeight="false" outlineLevel="0" collapsed="false">
      <c r="A42" s="20" t="s">
        <v>439</v>
      </c>
      <c r="B42" s="112" t="n">
        <v>700</v>
      </c>
      <c r="F42" s="14" t="s">
        <v>440</v>
      </c>
    </row>
    <row r="43" customFormat="false" ht="15" hidden="false" customHeight="false" outlineLevel="0" collapsed="false">
      <c r="A43" s="12" t="s">
        <v>441</v>
      </c>
      <c r="B43" s="40" t="n">
        <f aca="false">B41+B42</f>
        <v>5192.381824</v>
      </c>
    </row>
    <row r="44" customFormat="false" ht="15" hidden="false" customHeight="false" outlineLevel="0" collapsed="false">
      <c r="A44" s="20" t="s">
        <v>442</v>
      </c>
      <c r="B44" s="114" t="n">
        <v>8</v>
      </c>
    </row>
    <row r="45" customFormat="false" ht="15" hidden="false" customHeight="false" outlineLevel="0" collapsed="false">
      <c r="A45" s="20" t="s">
        <v>443</v>
      </c>
      <c r="B45" s="97" t="n">
        <f aca="false">B43/B44</f>
        <v>649.047728</v>
      </c>
    </row>
    <row r="46" customFormat="false" ht="15" hidden="false" customHeight="false" outlineLevel="0" collapsed="false">
      <c r="A46" s="20" t="s">
        <v>444</v>
      </c>
      <c r="B46" s="80" t="n">
        <f aca="false">(B45/B29)^(1/B40)-1</f>
        <v>0.259228529334779</v>
      </c>
    </row>
    <row r="48" customFormat="false" ht="15" hidden="false" customHeight="false" outlineLevel="0" collapsed="false">
      <c r="A48" s="76" t="s">
        <v>445</v>
      </c>
      <c r="B48" s="115" t="n">
        <f aca="false">'Operating Model'!H40</f>
        <v>230.482236783964</v>
      </c>
    </row>
    <row r="49" customFormat="false" ht="15" hidden="false" customHeight="false" outlineLevel="0" collapsed="false">
      <c r="A49" s="76" t="s">
        <v>446</v>
      </c>
      <c r="B49" s="116" t="n">
        <f aca="false">B45/B48</f>
        <v>2.81604229920923</v>
      </c>
    </row>
    <row r="50" customFormat="false" ht="15" hidden="false" customHeight="false" outlineLevel="0" collapsed="false">
      <c r="A50" s="76" t="s">
        <v>447</v>
      </c>
      <c r="B50" s="116" t="n">
        <f aca="false">B43/B48</f>
        <v>22.5283383936738</v>
      </c>
    </row>
    <row r="52" customFormat="false" ht="15" hidden="false" customHeight="false" outlineLevel="0" collapsed="false">
      <c r="A52" s="11" t="s">
        <v>448</v>
      </c>
      <c r="B52" s="11"/>
      <c r="C52" s="11"/>
      <c r="D52" s="11"/>
    </row>
    <row r="53" customFormat="false" ht="15" hidden="false" customHeight="false" outlineLevel="0" collapsed="false">
      <c r="A53" s="7" t="s">
        <v>449</v>
      </c>
    </row>
    <row r="54" customFormat="false" ht="15" hidden="false" customHeight="false" outlineLevel="0" collapsed="false">
      <c r="A54" s="7" t="s">
        <v>450</v>
      </c>
    </row>
    <row r="55" customFormat="false" ht="15" hidden="false" customHeight="false" outlineLevel="0" collapsed="false">
      <c r="A55" s="7" t="s">
        <v>451</v>
      </c>
    </row>
    <row r="56" customFormat="false" ht="15" hidden="false" customHeight="false" outlineLevel="0" collapsed="false">
      <c r="A56" s="7"/>
    </row>
    <row r="57" customFormat="false" ht="15" hidden="false" customHeight="false" outlineLevel="0" collapsed="false">
      <c r="A57" s="7" t="s">
        <v>452</v>
      </c>
    </row>
    <row r="58" customFormat="false" ht="15" hidden="false" customHeight="false" outlineLevel="0" collapsed="false">
      <c r="A58" s="7" t="s">
        <v>453</v>
      </c>
    </row>
    <row r="59" customFormat="false" ht="15" hidden="false" customHeight="false" outlineLevel="0" collapsed="false">
      <c r="A59" s="7" t="s">
        <v>454</v>
      </c>
    </row>
    <row r="60" customFormat="false" ht="15" hidden="false" customHeight="false" outlineLevel="0" collapsed="false">
      <c r="A60" s="7"/>
    </row>
    <row r="61" customFormat="false" ht="15" hidden="false" customHeight="false" outlineLevel="0" collapsed="false">
      <c r="A61" s="7" t="s">
        <v>455</v>
      </c>
    </row>
    <row r="62" customFormat="false" ht="15" hidden="false" customHeight="false" outlineLevel="0" collapsed="false">
      <c r="A62" s="7" t="s">
        <v>456</v>
      </c>
    </row>
    <row r="63" customFormat="false" ht="15" hidden="false" customHeight="false" outlineLevel="0" collapsed="false">
      <c r="A63" s="7" t="s">
        <v>457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5" min="2" style="1" width="13"/>
    <col collapsed="false" customWidth="true" hidden="false" outlineLevel="0" max="7" min="7" style="1" width="70"/>
  </cols>
  <sheetData>
    <row r="1" customFormat="false" ht="17.35" hidden="false" customHeight="false" outlineLevel="0" collapsed="false">
      <c r="A1" s="9" t="s">
        <v>458</v>
      </c>
      <c r="B1" s="3"/>
      <c r="C1" s="3"/>
      <c r="D1" s="3"/>
      <c r="E1" s="3"/>
    </row>
    <row r="2" customFormat="false" ht="15" hidden="false" customHeight="false" outlineLevel="0" collapsed="false">
      <c r="A2" s="10" t="s">
        <v>459</v>
      </c>
    </row>
    <row r="3" customFormat="false" ht="15" hidden="false" customHeight="false" outlineLevel="0" collapsed="false">
      <c r="A3" s="11" t="s">
        <v>460</v>
      </c>
      <c r="B3" s="11"/>
      <c r="C3" s="11"/>
      <c r="D3" s="11"/>
      <c r="E3" s="11"/>
    </row>
    <row r="4" customFormat="false" ht="15" hidden="false" customHeight="false" outlineLevel="0" collapsed="false">
      <c r="A4" s="12" t="s">
        <v>461</v>
      </c>
      <c r="B4" s="117" t="n">
        <v>0.15</v>
      </c>
    </row>
    <row r="5" customFormat="false" ht="15" hidden="false" customHeight="false" outlineLevel="0" collapsed="false">
      <c r="A5" s="12" t="s">
        <v>462</v>
      </c>
      <c r="B5" s="117" t="n">
        <v>0.2</v>
      </c>
    </row>
    <row r="7" customFormat="false" ht="15" hidden="false" customHeight="false" outlineLevel="0" collapsed="false">
      <c r="A7" s="23" t="s">
        <v>463</v>
      </c>
      <c r="B7" s="101" t="s">
        <v>387</v>
      </c>
      <c r="C7" s="101" t="s">
        <v>464</v>
      </c>
      <c r="D7" s="101" t="s">
        <v>389</v>
      </c>
      <c r="E7" s="101" t="s">
        <v>465</v>
      </c>
    </row>
    <row r="8" customFormat="false" ht="15" hidden="false" customHeight="false" outlineLevel="0" collapsed="false">
      <c r="A8" s="12" t="s">
        <v>466</v>
      </c>
      <c r="B8" s="72" t="n">
        <f aca="false">DCF!$D$59</f>
        <v>19.4269337114415</v>
      </c>
      <c r="C8" s="104" t="n">
        <f aca="false">D8-B8</f>
        <v>3.66369449695768</v>
      </c>
      <c r="D8" s="72" t="n">
        <f aca="false">DCF!$D$57</f>
        <v>23.0906282083992</v>
      </c>
      <c r="E8" s="107" t="n">
        <f aca="false">AVERAGE(B8,D8)</f>
        <v>21.2587809599204</v>
      </c>
    </row>
    <row r="9" customFormat="false" ht="15" hidden="false" customHeight="false" outlineLevel="0" collapsed="false">
      <c r="A9" s="12" t="s">
        <v>467</v>
      </c>
      <c r="B9" s="72" t="n">
        <f aca="false">DCF!$C$58</f>
        <v>18.9999879027781</v>
      </c>
      <c r="C9" s="104" t="n">
        <f aca="false">D9-B9</f>
        <v>4.41519060566254</v>
      </c>
      <c r="D9" s="72" t="n">
        <f aca="false">DCF!$E$58</f>
        <v>23.4151785084407</v>
      </c>
      <c r="E9" s="107" t="n">
        <f aca="false">AVERAGE(B9,D9)</f>
        <v>21.2075832056094</v>
      </c>
    </row>
    <row r="10" customFormat="false" ht="15" hidden="false" customHeight="false" outlineLevel="0" collapsed="false">
      <c r="A10" s="12" t="s">
        <v>468</v>
      </c>
      <c r="B10" s="72" t="n">
        <f aca="false">DCF!$B$51*0.9</f>
        <v>17.3559126971014</v>
      </c>
      <c r="C10" s="104" t="n">
        <f aca="false">D10-B10</f>
        <v>3.85686948824476</v>
      </c>
      <c r="D10" s="72" t="n">
        <f aca="false">DCF!$B$51*1.1</f>
        <v>21.2127821853462</v>
      </c>
      <c r="E10" s="107" t="n">
        <f aca="false">AVERAGE(B10,D10)</f>
        <v>19.2843474412238</v>
      </c>
    </row>
    <row r="11" customFormat="false" ht="15" hidden="false" customHeight="false" outlineLevel="0" collapsed="false">
      <c r="A11" s="12" t="s">
        <v>469</v>
      </c>
      <c r="B11" s="72" t="n">
        <f aca="false">'Trading Comps'!$D$32</f>
        <v>12.186057359846</v>
      </c>
      <c r="C11" s="104" t="n">
        <f aca="false">D11-B11</f>
        <v>11.4819586969879</v>
      </c>
      <c r="D11" s="72" t="n">
        <f aca="false">'Trading Comps'!$F$32</f>
        <v>23.668016056834</v>
      </c>
      <c r="E11" s="107" t="n">
        <f aca="false">AVERAGE(B11,D11)</f>
        <v>17.92703670834</v>
      </c>
    </row>
    <row r="12" customFormat="false" ht="15" hidden="false" customHeight="false" outlineLevel="0" collapsed="false">
      <c r="A12" s="12" t="s">
        <v>470</v>
      </c>
      <c r="B12" s="72" t="n">
        <f aca="false">(LBO!$B$76/(1+$B$5)^Assumptions!$B$96+LBO!$B$78)/Assumptions!$B$6</f>
        <v>17.7231844359549</v>
      </c>
      <c r="C12" s="104" t="n">
        <f aca="false">D12-B12</f>
        <v>2.6606017816549</v>
      </c>
      <c r="D12" s="72" t="n">
        <f aca="false">(LBO!$B$76/(1+$B$4)^Assumptions!$B$96+LBO!$B$78)/Assumptions!$B$6</f>
        <v>20.3837862176098</v>
      </c>
      <c r="E12" s="107" t="n">
        <f aca="false">AVERAGE(B12,D12)</f>
        <v>19.0534853267824</v>
      </c>
    </row>
    <row r="14" customFormat="false" ht="15" hidden="false" customHeight="false" outlineLevel="0" collapsed="false">
      <c r="A14" s="92" t="s">
        <v>471</v>
      </c>
      <c r="B14" s="110" t="n">
        <f aca="false">MIN(B8:B12)</f>
        <v>12.186057359846</v>
      </c>
      <c r="C14" s="93"/>
      <c r="D14" s="110" t="n">
        <f aca="false">MAX(D8:D12)</f>
        <v>23.668016056834</v>
      </c>
      <c r="E14" s="110" t="n">
        <f aca="false">AVERAGE(B14,D14)</f>
        <v>17.92703670834</v>
      </c>
    </row>
    <row r="16" customFormat="false" ht="15" hidden="false" customHeight="false" outlineLevel="0" collapsed="false">
      <c r="A16" s="6" t="s">
        <v>472</v>
      </c>
    </row>
    <row r="17" customFormat="false" ht="15" hidden="false" customHeight="false" outlineLevel="0" collapsed="false">
      <c r="A17" s="12" t="s">
        <v>473</v>
      </c>
      <c r="B17" s="118" t="n">
        <f aca="false">Assumptions!$B$5</f>
        <v>27.47</v>
      </c>
    </row>
    <row r="18" customFormat="false" ht="15" hidden="false" customHeight="false" outlineLevel="0" collapsed="false">
      <c r="A18" s="12" t="s">
        <v>474</v>
      </c>
      <c r="B18" s="118" t="n">
        <f aca="false">Assumptions!$B$17</f>
        <v>64</v>
      </c>
    </row>
    <row r="19" customFormat="false" ht="15" hidden="false" customHeight="false" outlineLevel="0" collapsed="false">
      <c r="A19" s="12" t="s">
        <v>475</v>
      </c>
      <c r="B19" s="119" t="n">
        <v>48.2</v>
      </c>
      <c r="G19" s="14" t="s">
        <v>476</v>
      </c>
    </row>
    <row r="21" customFormat="false" ht="15" hidden="false" customHeight="false" outlineLevel="0" collapsed="false">
      <c r="A21" s="120" t="s">
        <v>477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2026-08-07T08:23:03Z</dcterms:created>
  <dc:creator>openpyxl</dc:creator>
  <dc:description/>
  <dc:language>en-US</dc:language>
  <cp:lastModifiedBy/>
  <dcterms:modified xsi:type="dcterms:W3CDTF">2026-08-14T06:49:05Z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